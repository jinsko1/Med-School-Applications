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xmlns:r="http://schemas.openxmlformats.org/officeDocument/2006/relationships" name="MD Schools" sheetId="1" state="visible" r:id="rId1"/>
    <sheet xmlns:r="http://schemas.openxmlformats.org/officeDocument/2006/relationships" name="Summary" sheetId="2" state="visible" r:id="rId2"/>
  </sheets>
  <definedNames>
    <definedName name="_xlnm._FilterDatabase" localSheetId="0" hidden="1">'MD Schools'!$A$4:$L$34</definedName>
  </definedNames>
  <calcPr calcId="19102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name val="Calibri"/>
      <family val="2"/>
      <b val="1"/>
      <sz val="14"/>
    </font>
    <font>
      <name val="Calibri"/>
      <family val="2"/>
      <i val="1"/>
      <color rgb="FF666666"/>
      <sz val="11"/>
    </font>
    <font>
      <name val="Calibri"/>
      <family val="2"/>
      <b val="1"/>
      <color rgb="FFFFFFFF"/>
      <sz val="11"/>
    </font>
    <font>
      <name val="Calibri"/>
      <family val="2"/>
      <b val="1"/>
      <sz val="11"/>
    </font>
  </fonts>
  <fills count="4">
    <fill>
      <patternFill/>
    </fill>
    <fill>
      <patternFill patternType="gray125"/>
    </fill>
    <fill>
      <patternFill patternType="solid">
        <fgColor rgb="FF1F4E78"/>
      </patternFill>
    </fill>
    <fill>
      <patternFill patternType="solid">
        <fgColor rgb="FFD9EAF7"/>
      </patternFill>
    </fill>
  </fills>
  <borders count="2">
    <border>
      <left/>
      <right/>
      <top/>
      <bottom/>
      <diagonal/>
    </border>
    <border>
      <left/>
      <right/>
      <top/>
      <bottom style="thin">
        <color rgb="FFD9D9D9"/>
      </bottom>
      <diagonal/>
    </border>
  </borders>
  <cellStyleXfs count="1">
    <xf numFmtId="0" fontId="0" fillId="0" borderId="0"/>
  </cellStyleXfs>
  <cellXfs count="12">
    <xf numFmtId="0" fontId="0" fillId="0" borderId="0" pivotButton="0" quotePrefix="0" xfId="0"/>
    <xf numFmtId="0" fontId="1" fillId="0" borderId="1"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164" fontId="0" fillId="0" borderId="1" applyAlignment="1" pivotButton="0" quotePrefix="0" xfId="0">
      <alignment vertical="top" wrapText="1"/>
    </xf>
    <xf numFmtId="2" fontId="0" fillId="0" borderId="1" applyAlignment="1" pivotButton="0" quotePrefix="0" xfId="0">
      <alignment vertical="top" wrapText="1"/>
    </xf>
    <xf numFmtId="1" fontId="0" fillId="0" borderId="1" applyAlignment="1" pivotButton="0" quotePrefix="0" xfId="0">
      <alignment vertical="top" wrapText="1"/>
    </xf>
    <xf numFmtId="0" fontId="4" fillId="3" borderId="1" applyAlignment="1" pivotButton="0" quotePrefix="0" xfId="0">
      <alignment vertical="top" wrapText="1"/>
    </xf>
    <xf numFmtId="0" fontId="0" fillId="0" borderId="0" applyAlignment="1" pivotButton="0" quotePrefix="0" xfId="0">
      <alignment wrapText="1"/>
    </xf>
    <xf numFmtId="0" fontId="2" fillId="0" borderId="1" applyAlignment="1" pivotButton="0" quotePrefix="0" xfId="0">
      <alignment wrapText="1"/>
    </xf>
    <xf numFmtId="0" fontId="0" fillId="0" borderId="1" pivotButton="0" quotePrefix="0" xfId="0"/>
    <xf numFmtId="0" fontId="1" fillId="0"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5"/>
  <sheetViews>
    <sheetView tabSelected="1" workbookViewId="0">
      <pane ySplit="4" topLeftCell="A12" activePane="bottomLeft" state="frozen"/>
      <selection pane="bottomLeft" activeCell="A15" sqref="A15"/>
    </sheetView>
  </sheetViews>
  <sheetFormatPr baseColWidth="10" defaultColWidth="8.83203125" defaultRowHeight="15"/>
  <cols>
    <col width="44" customWidth="1" min="1" max="1"/>
    <col width="10" customWidth="1" min="2" max="2"/>
    <col width="22" customWidth="1" min="3" max="4"/>
    <col width="14" customWidth="1" min="5" max="6"/>
    <col width="18" customWidth="1" min="7" max="7"/>
    <col width="28" customWidth="1" min="8" max="8"/>
    <col width="42" customWidth="1" min="9" max="10"/>
    <col width="62" customWidth="1" min="11" max="11"/>
    <col width="76" customWidth="1" min="12" max="12"/>
  </cols>
  <sheetData>
    <row r="1" ht="19" customHeight="1">
      <c r="A1" s="11" t="inlineStr">
        <is>
          <t>U.S. MD school list refined against live 2027 MSAR data on May 30, 2026</t>
        </is>
      </c>
      <c r="B1" s="10" t="n"/>
      <c r="C1" s="10" t="n"/>
      <c r="D1" s="10" t="n"/>
      <c r="E1" s="10" t="n"/>
      <c r="F1" s="10" t="n"/>
      <c r="G1" s="10" t="n"/>
      <c r="H1" s="10" t="n"/>
      <c r="I1" s="10" t="n"/>
      <c r="J1" s="10" t="n"/>
      <c r="K1" s="10" t="n"/>
      <c r="L1" s="10" t="n"/>
    </row>
    <row r="2">
      <c r="A2" s="9" t="inlineStr">
        <is>
          <t>Live MSAR review removed high-stat public/OOS reaches and reclassified several private schools upward in risk; this version is optimized more for realistic odds than prestige coverage.</t>
        </is>
      </c>
      <c r="B2" s="10" t="n"/>
      <c r="C2" s="10" t="n"/>
      <c r="D2" s="10" t="n"/>
      <c r="E2" s="10" t="n"/>
      <c r="F2" s="10" t="n"/>
      <c r="G2" s="10" t="n"/>
      <c r="H2" s="10" t="n"/>
      <c r="I2" s="10" t="n"/>
      <c r="J2" s="10" t="n"/>
      <c r="K2" s="10" t="n"/>
      <c r="L2" s="10" t="n"/>
    </row>
    <row r="3">
      <c r="L3" s="8" t="n"/>
    </row>
    <row r="4" ht="32" customHeight="1">
      <c r="A4" s="2" t="inlineStr">
        <is>
          <t>School</t>
        </is>
      </c>
      <c r="B4" s="2" t="inlineStr">
        <is>
          <t>Degree</t>
        </is>
      </c>
      <c r="C4" s="2" t="inlineStr">
        <is>
          <t>City</t>
        </is>
      </c>
      <c r="D4" s="2" t="inlineStr">
        <is>
          <t>Estimated Annual COA ($)</t>
        </is>
      </c>
      <c r="E4" s="2" t="inlineStr">
        <is>
          <t>Reported GPA</t>
        </is>
      </c>
      <c r="F4" s="2" t="inlineStr">
        <is>
          <t>Reported MCAT</t>
        </is>
      </c>
      <c r="G4" s="2" t="inlineStr">
        <is>
          <t>Reach/Target/Safety</t>
        </is>
      </c>
      <c r="H4" s="2" t="inlineStr">
        <is>
          <t>COA Basis</t>
        </is>
      </c>
      <c r="I4" s="2" t="inlineStr">
        <is>
          <t>Stats Source URL</t>
        </is>
      </c>
      <c r="J4" s="2" t="inlineStr">
        <is>
          <t>COA Source URL</t>
        </is>
      </c>
      <c r="K4" s="2" t="inlineStr">
        <is>
          <t>Notes</t>
        </is>
      </c>
      <c r="L4" s="2" t="inlineStr">
        <is>
          <t>Mission Statement</t>
        </is>
      </c>
    </row>
    <row r="5" ht="32" customHeight="1">
      <c r="A5" s="3" t="inlineStr">
        <is>
          <t>Albany Medical College</t>
        </is>
      </c>
      <c r="B5" s="3" t="inlineStr">
        <is>
          <t>MD</t>
        </is>
      </c>
      <c r="C5" s="3" t="inlineStr">
        <is>
          <t>Albany, NY</t>
        </is>
      </c>
      <c r="D5" s="4" t="n">
        <v>93727</v>
      </c>
      <c r="E5" s="5" t="n">
        <v>3.87</v>
      </c>
      <c r="F5" s="6" t="n">
        <v>513</v>
      </c>
      <c r="G5" s="7" t="inlineStr">
        <is>
          <t>Safety</t>
        </is>
      </c>
      <c r="H5" s="3" t="inlineStr">
        <is>
          <t>Private</t>
        </is>
      </c>
      <c r="I5" s="3" t="inlineStr">
        <is>
          <t>MSAR cache: data/msar/2027/md_profiles_summary.json</t>
        </is>
      </c>
      <c r="J5" s="3" t="inlineStr">
        <is>
          <t>MSAR cache: data/msar/2027/md_profiles_summary.json</t>
        </is>
      </c>
      <c r="K5" s="3" t="inlineStr">
        <is>
          <t>Steadier private option with enough science and service overlap to function as a true lower-risk school.</t>
        </is>
      </c>
      <c r="L5" s="3" t="inlineStr">
        <is>
          <t>Albany Med Health System is the first choice for patient experience, quality and clinical excellence by delivering accessible, collaborative and trusted care, advancing discovery, and educating the next generation of health care professionals.</t>
        </is>
      </c>
    </row>
    <row r="6" ht="32" customHeight="1">
      <c r="A6" s="3" t="inlineStr">
        <is>
          <t>California University of Science and Medicine</t>
        </is>
      </c>
      <c r="B6" s="3" t="inlineStr">
        <is>
          <t>MD</t>
        </is>
      </c>
      <c r="C6" s="3" t="inlineStr">
        <is>
          <t>Colton, CA</t>
        </is>
      </c>
      <c r="D6" s="4" t="n">
        <v>115072</v>
      </c>
      <c r="E6" s="5" t="n">
        <v>3.83</v>
      </c>
      <c r="F6" s="6" t="n">
        <v>512</v>
      </c>
      <c r="G6" s="7" t="inlineStr">
        <is>
          <t>Safety</t>
        </is>
      </c>
      <c r="H6" s="3" t="inlineStr">
        <is>
          <t>Private</t>
        </is>
      </c>
      <c r="I6" s="3" t="inlineStr">
        <is>
          <t>MSAR cache: data/msar/2027/md_profiles_summary.json</t>
        </is>
      </c>
      <c r="J6" s="3" t="inlineStr">
        <is>
          <t>MSAR cache: data/msar/2027/md_profiles_summary.json</t>
        </is>
      </c>
      <c r="K6" s="3" t="inlineStr">
        <is>
          <t>California resident advantage plus a friendlier MSAR profile make this a practical lower-risk keep.</t>
        </is>
      </c>
      <c r="L6" s="3" t="inlineStr">
        <is>
          <t>To advance the art and science of medicine through innovative medical education, research, and compassionate healthcare delivery in an inclusive environment that advocates critical thinking, creativity, integrity, and professionalism.</t>
        </is>
      </c>
    </row>
    <row r="7" ht="32" customHeight="1">
      <c r="A7" s="3" t="inlineStr">
        <is>
          <t>Chicago Medical School at Rosalind Franklin University of Medicine and Science</t>
        </is>
      </c>
      <c r="B7" s="3" t="inlineStr">
        <is>
          <t>MD</t>
        </is>
      </c>
      <c r="C7" s="3" t="inlineStr">
        <is>
          <t>North Chicago, IL</t>
        </is>
      </c>
      <c r="D7" s="4" t="n">
        <v>104743</v>
      </c>
      <c r="E7" s="5" t="n">
        <v>3.79</v>
      </c>
      <c r="F7" s="6" t="n">
        <v>510</v>
      </c>
      <c r="G7" s="7" t="inlineStr">
        <is>
          <t>Safety</t>
        </is>
      </c>
      <c r="H7" s="3" t="inlineStr">
        <is>
          <t>Private</t>
        </is>
      </c>
      <c r="I7" s="3" t="inlineStr">
        <is>
          <t>MSAR cache: data/msar/2027/md_profiles_summary.json</t>
        </is>
      </c>
      <c r="J7" s="3" t="inlineStr">
        <is>
          <t>MSAR cache: data/msar/2027/md_profiles_summary.json</t>
        </is>
      </c>
      <c r="K7" s="3" t="inlineStr">
        <is>
          <t>One of the best statistical values on the list while still rewarding research, service, and leadership.</t>
        </is>
      </c>
      <c r="L7" s="3" t="inlineStr">
        <is>
          <t>Chicago Medical School’s mission is to educate a diverse student body in a community-engaged, interprofessional environment. Our graduates become exemplary, compassionate physicians and scientists dedicated to improving the health and wellness of their patients and communities through clinical excellence, scientific discovery, service, and leadership.</t>
        </is>
      </c>
    </row>
    <row r="8" ht="32" customHeight="1">
      <c r="A8" s="3" t="inlineStr">
        <is>
          <t>Drexel University College of Medicine</t>
        </is>
      </c>
      <c r="B8" s="3" t="inlineStr">
        <is>
          <t>MD</t>
        </is>
      </c>
      <c r="C8" s="3" t="inlineStr">
        <is>
          <t>Philadelphia, PA</t>
        </is>
      </c>
      <c r="D8" s="4" t="n">
        <v>110487</v>
      </c>
      <c r="E8" s="5" t="n">
        <v>3.84</v>
      </c>
      <c r="F8" s="6" t="n">
        <v>512</v>
      </c>
      <c r="G8" s="7" t="inlineStr">
        <is>
          <t>Safety</t>
        </is>
      </c>
      <c r="H8" s="3" t="inlineStr">
        <is>
          <t>Private</t>
        </is>
      </c>
      <c r="I8" s="3" t="inlineStr">
        <is>
          <t>MSAR cache: data/msar/2027/md_profiles_summary.json</t>
        </is>
      </c>
      <c r="J8" s="3" t="inlineStr">
        <is>
          <t>MSAR cache: data/msar/2027/md_profiles_summary.json</t>
        </is>
      </c>
      <c r="K8" s="3" t="inlineStr">
        <is>
          <t>A strong practical keep: private, broad, urban, and well aligned with your service, teaching, and clinical support work.</t>
        </is>
      </c>
      <c r="L8" s="3" t="inlineStr">
        <is>
          <t>Drexel University College of Medicine delivers innovative biomedical education in an environment that embraces inquiry and collaboration, founded on excellence in patient care, and based on a culture of, and respect for diversity. These principles are built upon the College's legacy of a firm commitment to meeting the healthcare needs of the communities in which we live and work.</t>
        </is>
      </c>
    </row>
    <row r="9" ht="32" customHeight="1">
      <c r="A9" s="3" t="inlineStr">
        <is>
          <t>Lewis Katz School of Medicine at Temple University</t>
        </is>
      </c>
      <c r="B9" s="3" t="inlineStr">
        <is>
          <t>MD</t>
        </is>
      </c>
      <c r="C9" s="3" t="inlineStr">
        <is>
          <t>Philadelphia, PA</t>
        </is>
      </c>
      <c r="D9" s="4" t="n">
        <v>91972</v>
      </c>
      <c r="E9" s="5" t="n">
        <v>3.84</v>
      </c>
      <c r="F9" s="6" t="n">
        <v>513</v>
      </c>
      <c r="G9" s="7" t="inlineStr">
        <is>
          <t>Safety</t>
        </is>
      </c>
      <c r="H9" s="3" t="inlineStr">
        <is>
          <t>Private</t>
        </is>
      </c>
      <c r="I9" s="3" t="inlineStr">
        <is>
          <t>MSAR cache: data/msar/2027/md_profiles_summary.json</t>
        </is>
      </c>
      <c r="J9" s="3" t="inlineStr">
        <is>
          <t>MSAR cache: data/msar/2027/md_profiles_summary.json</t>
        </is>
      </c>
      <c r="K9" s="3" t="inlineStr">
        <is>
          <t>One of the cleanest mission fits for your restorative justice, hospice, and urban community service work.</t>
        </is>
      </c>
      <c r="L9" s="3" t="inlineStr">
        <is>
          <t>Mission
Align with our diverse communities to advance medicine and improve health through education, research, training, and development of the next generation of clinicians, educators, and scientists.
Vision
The Lewis Katz School of Medicine will inspire a new standard of excellence in education and research and lead social change in medicine.
At the Katz School of Medicine, our mission and vision call us to serve, discover, and lead. We believe medicine is not only a science but also a promise. A promise to our patients, our communities, and to the next generation of healers and innovators. Together, we create a future where knowledge, compassion, and collaboration improve lives everywhere.
In 2024, the school launched Inspiring Excellence, a five-year strategic plan that charts a big and bold future that harnesses the unlimited potential and passion deeply embedded within the community and honors a long history of valuing and embracing diversity and health equity. Inspiring Excellence reflects Katz’s commitment to shaping the future of health. It centers on aligning with our communities, advancing equity, and raising the bar in medical education and research. Together, these priorities create a powerful framework for lasting social change in medicine.</t>
        </is>
      </c>
    </row>
    <row r="10" ht="32" customHeight="1">
      <c r="A10" s="3" t="inlineStr">
        <is>
          <t>Roseman University College of Medicine</t>
        </is>
      </c>
      <c r="B10" s="3" t="inlineStr">
        <is>
          <t>MD</t>
        </is>
      </c>
      <c r="C10" s="3" t="inlineStr">
        <is>
          <t>Las Vegas, NV</t>
        </is>
      </c>
      <c r="D10" s="4" t="n">
        <v>113531</v>
      </c>
      <c r="E10" s="5" t="n">
        <v>3.79</v>
      </c>
      <c r="F10" s="6" t="n">
        <v>510</v>
      </c>
      <c r="G10" s="7" t="inlineStr">
        <is>
          <t>Safety</t>
        </is>
      </c>
      <c r="H10" s="3" t="inlineStr">
        <is>
          <t>Private</t>
        </is>
      </c>
      <c r="I10" s="3" t="inlineStr">
        <is>
          <t>MSAR cache: data/msar/2027/md_profiles_summary.json</t>
        </is>
      </c>
      <c r="J10" s="3" t="inlineStr">
        <is>
          <t>MSAR cache: data/msar/2027/md_profiles_summary.json</t>
        </is>
      </c>
      <c r="K10" s="3" t="inlineStr">
        <is>
          <t>One of the clearest lower-risk adds by the numbers: low accepted stats, good out-of-state interview rate, and a community-accountability mission.</t>
        </is>
      </c>
      <c r="L10" s="3" t="inlineStr">
        <is>
          <t xml:space="preserve">The Roseman University College of Medicine (RUCOM) is here to produce the healthcare workforce of the future, developing clinically excellent, community-based, socially accountable, humble, compassionate, and inclusive physicians, and decrease the health disparities in Nevada. This will be accomplished by innovative teaching, emphasizing not only clinical excellence but also ethics, humility, empathy, critical and creative thinking, and real-world experience. Graduates of RUCOM will understand the complexities of communities and how the Social Determinants of Health impact both individual and population health. The communities we serve will be partners in our teaching and learning.
Mission 
To align students, educators, and the community in designing and delivering an inclusive and collaborative environment for innovative learning, healthcare, and research. 
Vision 
Diverse professionals improving the health of the region’s rural and urban communities. 
Values 
Humility 
Excellence 
Respect 
</t>
        </is>
      </c>
    </row>
    <row r="11" ht="32" customHeight="1">
      <c r="A11" s="3" t="inlineStr">
        <is>
          <t>Rush Medical College at Rush University</t>
        </is>
      </c>
      <c r="B11" s="3" t="inlineStr">
        <is>
          <t>MD</t>
        </is>
      </c>
      <c r="C11" s="3" t="inlineStr">
        <is>
          <t>Chicago, IL</t>
        </is>
      </c>
      <c r="D11" s="4" t="n">
        <v>107391</v>
      </c>
      <c r="E11" s="5" t="n">
        <v>3.8</v>
      </c>
      <c r="F11" s="6" t="n">
        <v>510</v>
      </c>
      <c r="G11" s="7" t="inlineStr">
        <is>
          <t>Safety</t>
        </is>
      </c>
      <c r="H11" s="3" t="inlineStr">
        <is>
          <t>Private</t>
        </is>
      </c>
      <c r="I11" s="3" t="inlineStr">
        <is>
          <t>MSAR cache: data/msar/2027/md_profiles_summary.json</t>
        </is>
      </c>
      <c r="J11" s="3" t="inlineStr">
        <is>
          <t>MSAR cache: data/msar/2027/md_profiles_summary.json</t>
        </is>
      </c>
      <c r="K11" s="3" t="inlineStr">
        <is>
          <t>Mission fit is extremely strong for your service background, and it stays as a strategic mission-driven safety.</t>
        </is>
      </c>
      <c r="L11" s="3" t="inlineStr">
        <is>
          <t>Rush Medical College (RMC) is one of three colleges within Rush University (RU), the academic arm of the Rush University System for Health (RUSH). The missions of RMC and RU have been adopted in support of Rush's mission, which is to improve the health of the individuals and diverse communities we serve through the integration of outstanding patient care, education, research, and community partnerships.
Rush University champions a learning environment in health and biomedical sciences through collaboration, education, research, and equity for our students, faculty, staff, and the communities we serve.
RMC's mission is to nurture, through a supportive and dynamic learning community, the development of empathic, proficient physicians dedicated to continuous learning, innovation, and excellence in clinical practice, education, research, and service.
RMC seeks to interview and matriculate applicants who have demonstrated their alignment with the various Rush mission statements through their direct patient care experiences, longitudinal commitments to service, leadership and extracurricular activities, and research endeavors.</t>
        </is>
      </c>
    </row>
    <row r="12" ht="32" customHeight="1">
      <c r="A12" s="3" t="inlineStr">
        <is>
          <t>Thomas F. Frist, Jr. College of Medicine at Belmont University</t>
        </is>
      </c>
      <c r="B12" s="3" t="inlineStr">
        <is>
          <t>MD</t>
        </is>
      </c>
      <c r="C12" s="3" t="inlineStr">
        <is>
          <t>Nashville, TN</t>
        </is>
      </c>
      <c r="D12" s="4" t="n">
        <v>105639</v>
      </c>
      <c r="E12" s="5" t="n">
        <v>3.84</v>
      </c>
      <c r="F12" s="6" t="n">
        <v>512</v>
      </c>
      <c r="G12" s="7" t="inlineStr">
        <is>
          <t>Safety</t>
        </is>
      </c>
      <c r="H12" s="3" t="inlineStr">
        <is>
          <t>Private</t>
        </is>
      </c>
      <c r="I12" s="3" t="inlineStr">
        <is>
          <t>MSAR cache: data/msar/2027/md_profiles_summary.json</t>
        </is>
      </c>
      <c r="J12" s="3" t="inlineStr">
        <is>
          <t>MSAR cache: data/msar/2027/md_profiles_summary.json</t>
        </is>
      </c>
      <c r="K12" s="3" t="inlineStr">
        <is>
          <t>Private school with no Tennessee preference, manageable accepted stats, and values language that fits your reflective and service-centered profile.</t>
        </is>
      </c>
      <c r="L12" s="3" t="inlineStr">
        <is>
          <t xml:space="preserve">Our Mission: The Thomas F. Frist, Jr. College of Medicine at Belmont University is dedicated to cultivating diverse physician leaders of character who embrace a whole-person approach to healing in a community of service-learning, inspired by character and the love and grace of Christ.
Our Vision: Shaping medicine through transformative whole person care.
We are united by a common set of value statements:
Love Learning
Lead by Serving
Live with Integrity
Heal Together in Humility
Welcome Difference
Learn more: https://www.belmont.edu/medicine/about/
As a newer medical school, we are looking for students who see themselves in this mission and share these values. Our belief in a whole-person approach to health care informs everything we do – from education, to clinical experiences, to the leadership team we’ve selected. The focus is on you - from challenging academics and robust clinical experiences - it’s personalized education, informed at every level throughout medical school.
From the very beginning of the admissions process, FCoM considers each aspect of who you are and what you bring to the learning environment.  This focus on you continues when you become a student - with small class sizes, small group learning, and hands on practical experience, our community will support you as you grow into the type of physician you want to be. 
</t>
        </is>
      </c>
    </row>
    <row r="13" ht="32" customHeight="1">
      <c r="A13" s="3" t="inlineStr">
        <is>
          <t>Tulane University School of Medicine</t>
        </is>
      </c>
      <c r="B13" s="3" t="inlineStr">
        <is>
          <t>MD</t>
        </is>
      </c>
      <c r="C13" s="3" t="inlineStr">
        <is>
          <t>New Orleans, LA</t>
        </is>
      </c>
      <c r="D13" s="4" t="n">
        <v>114804</v>
      </c>
      <c r="E13" s="5" t="n">
        <v>3.84</v>
      </c>
      <c r="F13" s="6" t="n">
        <v>512</v>
      </c>
      <c r="G13" s="7" t="inlineStr">
        <is>
          <t>Safety</t>
        </is>
      </c>
      <c r="H13" s="3" t="inlineStr">
        <is>
          <t>Private</t>
        </is>
      </c>
      <c r="I13" s="3" t="inlineStr">
        <is>
          <t>MSAR cache: data/msar/2027/md_profiles_summary.json</t>
        </is>
      </c>
      <c r="J13" s="3" t="inlineStr">
        <is>
          <t>MSAR cache: data/msar/2027/md_profiles_summary.json</t>
        </is>
      </c>
      <c r="K13" s="3" t="inlineStr">
        <is>
          <t>Service-heavy culture and lower accepted stats make this a reasonable keep despite its large applicant pool.</t>
        </is>
      </c>
      <c r="L13" s="3" t="inlineStr">
        <is>
          <t>We improve human health and foster healthy communities through discovery and translation of the best science into clinical practice and education; to deliver the highest quality patient care and prepare the next generation of distinguished clinical and scientific leaders.</t>
        </is>
      </c>
    </row>
    <row r="14" ht="32" customHeight="1">
      <c r="A14" s="3" t="inlineStr">
        <is>
          <t>UC Davis School of Medicine</t>
        </is>
      </c>
      <c r="B14" s="3" t="inlineStr">
        <is>
          <t>MD</t>
        </is>
      </c>
      <c r="C14" s="3" t="inlineStr">
        <is>
          <t>Sacramento, CA</t>
        </is>
      </c>
      <c r="D14" s="4" t="n">
        <v>87708</v>
      </c>
      <c r="E14" s="5" t="n">
        <v>3.82</v>
      </c>
      <c r="F14" s="6" t="n">
        <v>512</v>
      </c>
      <c r="G14" s="7" t="inlineStr">
        <is>
          <t>Safety</t>
        </is>
      </c>
      <c r="H14" s="3" t="inlineStr">
        <is>
          <t>CA public (in-state COA)</t>
        </is>
      </c>
      <c r="I14" s="3" t="inlineStr">
        <is>
          <t>MSAR cache: data/msar/2027/md_profiles_summary.json</t>
        </is>
      </c>
      <c r="J14" s="3" t="inlineStr">
        <is>
          <t>MSAR cache: data/msar/2027/md_profiles_summary.json</t>
        </is>
      </c>
      <c r="K14" s="3" t="inlineStr">
        <is>
          <t>In-state and mission-aligned; MSAR shows a much friendlier academic range than several higher-prestige alternatives.</t>
        </is>
      </c>
      <c r="L14" s="3" t="inlineStr">
        <is>
          <t>Transforming lives by improving health through the combined power of education, research, clinical care, and community.
Here our some ways we put our mission into ACTION:
Admissions Practices/Priorities-The Office of Admissions conducts holistic training for all individuals involved in admissions, emphasizing their responsibilities, need for confidentiality and other topics including implicit association (bias) and other key factors influencing admissions decisions.  All participants take a university provided training related to diversity and inclusion, implicit bias, and anti-racism.  UC Davis utilizes a socio-economic disadvantaged score, based on AMCAS information, to attach a numeric value to each applicant’s perseverance, grit, and distance traveled, which becomes part of the holistic admission evaluation. Beginning in 2009, UC Davis has implemented several successful strategies to support enrollment of students from traditionally underrepresented in medicine groups and those who plan to work in medically underserved areas. Students can apply to enroll in: Accelerated Competency-based Education in Primary Care (ACE-PC), a three-year M.D. program designed with Kaiser Permanente to bolster the primary care workforce in California; TEACH-MS, Transforming Education and Community Health for Medical Students, geared for students who want to work in urban underserved areas; REACH, or Reimagining Education to Advance central California Health, for students aspiring to work in the Central Valley; the Rural Program in Medical Education focusing on closing workforce shortages in rural areas of northern California; and Tribal Health PRIME, designed to provide students with the appropriate knowledge and skills to practice medicine in California’s urban and rural tribal communities. COMPADRE or California Oregon Medical Partnership to Address Disparities in Rural Education is a bold partnership to address workforce shortages in Oregon and Northern California by connecting students from underserved tribal, rural and urban communities to rewarding medical school and residency experiences throughout the region. 
Mission-focused Graduates-Over the past 10 years, over 75% of CHS graduates have matched into primary care residencies. In 2024, US News and World Report ranked UC Davis #4 in the U.S. for Diversity and Tier 1 for Primary Care. 
Student Life/Support Services-The Office of Student and Resident Diversity supports all students with a focus on groups historically underrepresented in medicine, working to cultivate a safe learning environment in which diversity can be nurtured in an inclusive, accepting and productive manner. This unit is lead by our newly appointed Associate Dean for Diverse and Inclusive Education and Associate Dean for Diverse and Inclusive Learning Communities. The Office of Student Learning and Educational Resources is a comprehensive academic support unit providing assistance to students in developing learning strategies that support their academic success and promote life-long learning. The Office of Student Wellness develops and implements medical student wellness initiatives, fostering collaborations that will lead to a culture of excellence and well-being. The Academic Coaching Program utilizes clinical faculty to anchor and guide students throughout their medical school journey. Coaches help students understand the culture of medicine, their contribution to it, and how to identify and achieve their goals.</t>
        </is>
      </c>
    </row>
    <row r="15" ht="32" customHeight="1">
      <c r="A15" s="3" t="inlineStr">
        <is>
          <t>University of California, Riverside School of Medicine</t>
        </is>
      </c>
      <c r="B15" s="3" t="inlineStr">
        <is>
          <t>MD</t>
        </is>
      </c>
      <c r="C15" s="3" t="inlineStr">
        <is>
          <t>Riverside, CA</t>
        </is>
      </c>
      <c r="D15" s="4" t="n">
        <v>97557</v>
      </c>
      <c r="E15" s="5" t="n">
        <v>3.81</v>
      </c>
      <c r="F15" s="6" t="n">
        <v>509</v>
      </c>
      <c r="G15" s="7" t="inlineStr">
        <is>
          <t>Safety</t>
        </is>
      </c>
      <c r="H15" s="3" t="inlineStr">
        <is>
          <t>CA public (in-state COA)</t>
        </is>
      </c>
      <c r="I15" s="3" t="inlineStr">
        <is>
          <t>MSAR cache: data/msar/2027/md_profiles_summary.json</t>
        </is>
      </c>
      <c r="J15" s="3" t="inlineStr">
        <is>
          <t>MSAR cache: data/msar/2027/md_profiles_summary.json</t>
        </is>
      </c>
      <c r="K15" s="3" t="inlineStr">
        <is>
          <t>California advantage and service mission make this too useful to drop, even with its regional emphasis.</t>
        </is>
      </c>
      <c r="L15" s="3" t="inlineStr">
        <is>
          <t>The mission of the UCR School of Medicine is to improve the health of the people of California and, especially, to serve Inland Southern California by training a diverse workforce of physicians and by developing innovative research and health care delivery programs that will improve the health of the medically underserved in the region and become models to be emulated throughout the state and nation.</t>
        </is>
      </c>
    </row>
    <row r="16" ht="32" customHeight="1">
      <c r="A16" s="3" t="inlineStr">
        <is>
          <t>Virginia Tech Carilion School of Medicine</t>
        </is>
      </c>
      <c r="B16" s="3" t="inlineStr">
        <is>
          <t>MD</t>
        </is>
      </c>
      <c r="C16" s="3" t="inlineStr">
        <is>
          <t>Roanoke, VA</t>
        </is>
      </c>
      <c r="D16" s="4" t="n">
        <v>93201</v>
      </c>
      <c r="E16" s="5" t="n">
        <v>3.82</v>
      </c>
      <c r="F16" s="6" t="n">
        <v>513</v>
      </c>
      <c r="G16" s="7" t="inlineStr">
        <is>
          <t>Safety</t>
        </is>
      </c>
      <c r="H16" s="3" t="inlineStr">
        <is>
          <t>Public (out-of-state COA)</t>
        </is>
      </c>
      <c r="I16" s="3" t="inlineStr">
        <is>
          <t>MSAR cache: data/msar/2027/md_profiles_summary.json</t>
        </is>
      </c>
      <c r="J16" s="3" t="inlineStr">
        <is>
          <t>MSAR cache: data/msar/2027/md_profiles_summary.json</t>
        </is>
      </c>
      <c r="K16" s="3" t="inlineStr">
        <is>
          <t>Excellent research-story fit with a smaller class and accepted stats that are more compatible with your profile.</t>
        </is>
      </c>
      <c r="L16" s="3" t="inlineStr">
        <is>
          <t>VTC's mission is to develop physician thought leaders through inquiry, research and discovery, using an innovative curriculum based on adult learning methods in a patient-centered context. Our graduates will be physicians with outstanding clinical skills and significantly enhanced research capabilities who will remain life-long learners. The VTC physician will have an understanding of the importance of interprofessionalism to enable them to thrive in a modern healthcare team.</t>
        </is>
      </c>
    </row>
    <row r="17" ht="32" customHeight="1">
      <c r="A17" s="3" t="inlineStr">
        <is>
          <t>Wayne State University School of Medicine</t>
        </is>
      </c>
      <c r="B17" s="3" t="inlineStr">
        <is>
          <t>MD</t>
        </is>
      </c>
      <c r="C17" s="3" t="inlineStr">
        <is>
          <t>Detroit, MI</t>
        </is>
      </c>
      <c r="D17" s="4" t="n">
        <v>107533</v>
      </c>
      <c r="E17" s="5" t="n">
        <v>3.88</v>
      </c>
      <c r="F17" s="6" t="n">
        <v>512</v>
      </c>
      <c r="G17" s="7" t="inlineStr">
        <is>
          <t>Safety</t>
        </is>
      </c>
      <c r="H17" s="3" t="inlineStr">
        <is>
          <t>Public (out-of-state COA)</t>
        </is>
      </c>
      <c r="I17" s="3" t="inlineStr">
        <is>
          <t>MSAR cache: data/msar/2027/md_profiles_summary.json</t>
        </is>
      </c>
      <c r="J17" s="3" t="inlineStr">
        <is>
          <t>MSAR cache: data/msar/2027/md_profiles_summary.json</t>
        </is>
      </c>
      <c r="K17" s="3" t="inlineStr">
        <is>
          <t>Urban mission and belonging focus match your justice-oriented service unusually well.</t>
        </is>
      </c>
      <c r="L17" s="3" t="inlineStr">
        <is>
          <t xml:space="preserve">Wayne State, located in the heart of Detroit, provides a distinct experiential advantage that sets students apart from their peers and prepares them to be health care leaders and advocates. Our Highways to Excellence curriculum provides students with an organ systems-based curriculum, a focused clinical skills course, a deep and authentic understanding of health needs and challenges, multiple ways to take advantage of experiential service-learning, community engagement and research opportunities, and more. 
Our students have many opportunities to volunteer in the community, including at student-run free clinics, with area nonprofits, urban gardens, area schools and much more. Students also have access to a myriad of academic, financial, career and mental health support services designed to remove barriers and help them succeed as students, physicians, and health care leaders and advocates.  
Since 1868, the Wayne State University School of Medicine has educated and trained more than 26,000 highly-skilled and compassionate physicians, researchers and public health professionals. Our graduates are sought-after, and a large percentage serve in under-resourced communities. Our Class of 2024 achieved a 98.1 percent residency match rate, well above the national average, matching into 24 specialties in 30 states. </t>
        </is>
      </c>
    </row>
    <row r="18" ht="32" customHeight="1">
      <c r="A18" s="3" t="inlineStr">
        <is>
          <t>Eastern Virginia Medical School</t>
        </is>
      </c>
      <c r="B18" s="3" t="inlineStr">
        <is>
          <t>MD</t>
        </is>
      </c>
      <c r="C18" s="3" t="inlineStr">
        <is>
          <t>Norfolk, VA</t>
        </is>
      </c>
      <c r="D18" s="4" t="n">
        <v>92301</v>
      </c>
      <c r="E18" s="5" t="n">
        <v>3.82</v>
      </c>
      <c r="F18" s="6" t="n">
        <v>513</v>
      </c>
      <c r="G18" s="7" t="inlineStr">
        <is>
          <t>Target</t>
        </is>
      </c>
      <c r="H18" s="3" t="inlineStr">
        <is>
          <t>Public (out-of-state COA)</t>
        </is>
      </c>
      <c r="I18" s="3" t="inlineStr">
        <is>
          <t>MSAR cache: data/msar/2027/md_profiles_summary.json</t>
        </is>
      </c>
      <c r="J18" s="3" t="inlineStr">
        <is>
          <t>MSAR cache: data/msar/2027/md_profiles_summary.json</t>
        </is>
      </c>
      <c r="K18" s="3" t="inlineStr">
        <is>
          <t>Community-centered and still reasonably attainable; a better strategic keep than several prestige schools that were cut.</t>
        </is>
      </c>
      <c r="L18" s="3" t="inlineStr">
        <is>
          <t>Macon &amp; Joan Brock Virginia Health Sciences Eastern Virginia Medical School (VHS-EVMS) at Old Dominion University is an academic health center dedicated to achieving excellence in medical and health professions education, research and patient care. We value creating and fostering a diverse and cohesive faculty, professional staff and student body as the surest way to achieve our mission. Adhering to the highest ethical standards, we will strive to improve the health of our community and to be recognized as a national center of intellectual and clinical strength in medicine and Health Professions. Our commitment to ensuring institutional effectiveness is demonstrated by the continuous assessment processes we use to improve program performance and student learning outcomes.</t>
        </is>
      </c>
    </row>
    <row r="19" ht="32" customHeight="1">
      <c r="A19" s="3" t="inlineStr">
        <is>
          <t>Frank H. Netter M.D. School of Medicine at Quinnipiac University</t>
        </is>
      </c>
      <c r="B19" s="3" t="inlineStr">
        <is>
          <t>MD</t>
        </is>
      </c>
      <c r="C19" s="3" t="inlineStr">
        <is>
          <t>Hamden, CT</t>
        </is>
      </c>
      <c r="D19" s="4" t="n">
        <v>101334</v>
      </c>
      <c r="E19" s="5" t="n">
        <v>3.81</v>
      </c>
      <c r="F19" s="6" t="n">
        <v>512</v>
      </c>
      <c r="G19" s="7" t="inlineStr">
        <is>
          <t>Target</t>
        </is>
      </c>
      <c r="H19" s="3" t="inlineStr">
        <is>
          <t>Private</t>
        </is>
      </c>
      <c r="I19" s="3" t="inlineStr">
        <is>
          <t>MSAR cache: data/msar/2027/md_profiles_summary.json</t>
        </is>
      </c>
      <c r="J19" s="3" t="inlineStr">
        <is>
          <t>MSAR cache: data/msar/2027/md_profiles_summary.json</t>
        </is>
      </c>
      <c r="K19" s="3" t="inlineStr">
        <is>
          <t>A sensible target with humanistic training language and manageable accepted-metric ranges.</t>
        </is>
      </c>
      <c r="L19" s="3" t="inlineStr">
        <is>
          <t xml:space="preserve">The Frank H. Netter MD School of Medicine is dedicated to educating current and future physicians to serve our community, as well as our profession.  We accomplish this goal in a student-centered, collaborative environment that values compassionate care, integrity and inclusivity, academic excellence and scholarship, adaptability and social responsibility. 
</t>
        </is>
      </c>
    </row>
    <row r="20" ht="32" customHeight="1">
      <c r="A20" s="3" t="inlineStr">
        <is>
          <t>Hackensack Meridian School of Medicine</t>
        </is>
      </c>
      <c r="B20" s="3" t="inlineStr">
        <is>
          <t>MD</t>
        </is>
      </c>
      <c r="C20" s="3" t="inlineStr">
        <is>
          <t>Nutley, NJ</t>
        </is>
      </c>
      <c r="D20" s="4" t="n">
        <v>125352</v>
      </c>
      <c r="E20" s="5" t="n">
        <v>3.85</v>
      </c>
      <c r="F20" s="6" t="n">
        <v>514</v>
      </c>
      <c r="G20" s="7" t="inlineStr">
        <is>
          <t>Target</t>
        </is>
      </c>
      <c r="H20" s="3" t="inlineStr">
        <is>
          <t>Private</t>
        </is>
      </c>
      <c r="I20" s="3" t="inlineStr">
        <is>
          <t>MSAR cache: data/msar/2027/md_profiles_summary.json</t>
        </is>
      </c>
      <c r="J20" s="3" t="inlineStr">
        <is>
          <t>MSAR cache: data/msar/2027/md_profiles_summary.json</t>
        </is>
      </c>
      <c r="K20" s="3" t="inlineStr">
        <is>
          <t>Reasonable private target with stronger odds than many prestige schools, though you should submit early because screening appears slow.</t>
        </is>
      </c>
      <c r="L20" s="3" t="inlineStr">
        <is>
          <t>To develop our students, residents, fellows, faculty, and healthcare environment to deliver the highest quality care for all.
●	Embrace and model our professional reverence for the human condition, empathy towards suffering, excellence in medical care, research and discovery, and humility in service;
●	Continue to serve and learn from the engagement of underrepresented minority populations among student, faculty, staff, and community;
●	Integrate lifelong learning and inquiry into their practice;
●	Work in communion with scholars and practitioners of other disciplines to integrate their perspectives, experiences, and tools; and
●	Understand that context, community, and behavior, drive well-being.</t>
        </is>
      </c>
    </row>
    <row r="21" ht="32" customHeight="1">
      <c r="A21" s="3" t="inlineStr">
        <is>
          <t>Loyola University Chicago Stritch School of Medicine</t>
        </is>
      </c>
      <c r="B21" s="3" t="inlineStr">
        <is>
          <t>MD</t>
        </is>
      </c>
      <c r="C21" s="3" t="inlineStr">
        <is>
          <t>Maywood, IL</t>
        </is>
      </c>
      <c r="D21" s="4" t="n">
        <v>107024</v>
      </c>
      <c r="E21" s="5" t="n">
        <v>3.87</v>
      </c>
      <c r="F21" s="6" t="n">
        <v>513</v>
      </c>
      <c r="G21" s="7" t="inlineStr">
        <is>
          <t>Target</t>
        </is>
      </c>
      <c r="H21" s="3" t="inlineStr">
        <is>
          <t>Private</t>
        </is>
      </c>
      <c r="I21" s="3" t="inlineStr">
        <is>
          <t>MSAR cache: data/msar/2027/md_profiles_summary.json</t>
        </is>
      </c>
      <c r="J21" s="3" t="inlineStr">
        <is>
          <t>MSAR cache: data/msar/2027/md_profiles_summary.json</t>
        </is>
      </c>
      <c r="K21" s="3" t="inlineStr">
        <is>
          <t>Jesuit social-justice mission fits your community work, though its interview pattern keeps it in target rather than safety territory.</t>
        </is>
      </c>
      <c r="L21" s="3" t="inlineStr">
        <is>
          <t xml:space="preserve">Loyola University Chicago Stritch School of Medicine (SSOM) is committed to scholarship and the education of medical professionals and biomedical scientists. Our school, including its faculty, trainees, and staff are, called to go beyond facts, experimentation, and treatment of disease to prepare people to lead extraordinary lives and treat the human spirit in an environment that encourages innovation embraces diversity, respects life, and values human dignity.
</t>
        </is>
      </c>
    </row>
    <row r="22" ht="32" customHeight="1">
      <c r="A22" s="3" t="inlineStr">
        <is>
          <t>Medical College of Wisconsin</t>
        </is>
      </c>
      <c r="B22" s="3" t="inlineStr">
        <is>
          <t>MD</t>
        </is>
      </c>
      <c r="C22" s="3" t="inlineStr">
        <is>
          <t>Milwaukee, WI</t>
        </is>
      </c>
      <c r="D22" s="4" t="n">
        <v>109187</v>
      </c>
      <c r="E22" s="5" t="n">
        <v>3.87</v>
      </c>
      <c r="F22" s="6" t="n">
        <v>511</v>
      </c>
      <c r="G22" s="7" t="inlineStr">
        <is>
          <t>Target</t>
        </is>
      </c>
      <c r="H22" s="3" t="inlineStr">
        <is>
          <t>Private</t>
        </is>
      </c>
      <c r="I22" s="3" t="inlineStr">
        <is>
          <t>MSAR cache: data/msar/2027/md_profiles_summary.json</t>
        </is>
      </c>
      <c r="J22" s="3" t="inlineStr">
        <is>
          <t>MSAR cache: data/msar/2027/md_profiles_summary.json</t>
        </is>
      </c>
      <c r="K22" s="3" t="inlineStr">
        <is>
          <t>Solid research-plus-service fit with a friendlier statistical profile than the top-heavy schools you cut.</t>
        </is>
      </c>
      <c r="L22" s="3" t="inlineStr">
        <is>
          <t xml:space="preserve">Our Mission: We are a distinguished leader and innovator in the education and development of the next generation of physicians, scientists, pharmacists and health professionals; we discover and translate new knowledge in the biomedical and health sciences; we provide cutting-edge, collaborative patient care of the highest quality; and we improve the health of the communities we serve.
Our Vision: Pioneering pathways to a healthier world.
Our Values: We strive for excellence in education, research, patient care, and community engagement by acting in caring ways, engaging in collaborative efforts, approaching our world with curiosity, advancing inclusive practices, demonstrating integrity in all we do, treating everyone with respect. 
Many aspects of the MCWfusion Curriculum connect directly to our mission. Doctoring Threads create opportunities for students to obtain the knowledge, skills, and attitudes required to be successful clinicians. Spiral Weeks allow students to create and act on individual development plans for excellence and remediation and develop meaningful connections with peers and faculty. Learning Communities become a longitudinal support system during medical school. Students interact with a small group of peers and a faculty navigator while nurturing their adaptive learner skills and obtaining academic advising and coaching. </t>
        </is>
      </c>
    </row>
    <row r="23" ht="32" customHeight="1">
      <c r="A23" s="3" t="inlineStr">
        <is>
          <t>Nova Southeastern University Dr. Kiran C. Patel College of Allopathic Medicine</t>
        </is>
      </c>
      <c r="B23" s="3" t="inlineStr">
        <is>
          <t>MD</t>
        </is>
      </c>
      <c r="C23" s="3" t="inlineStr">
        <is>
          <t>Davie, FL</t>
        </is>
      </c>
      <c r="D23" s="4" t="n">
        <v>113686</v>
      </c>
      <c r="E23" s="5" t="n">
        <v>3.85</v>
      </c>
      <c r="F23" s="6" t="n">
        <v>513</v>
      </c>
      <c r="G23" s="7" t="inlineStr">
        <is>
          <t>Target</t>
        </is>
      </c>
      <c r="H23" s="3" t="inlineStr">
        <is>
          <t>Private</t>
        </is>
      </c>
      <c r="I23" s="3" t="inlineStr">
        <is>
          <t>MSAR cache: data/msar/2027/md_profiles_summary.json</t>
        </is>
      </c>
      <c r="J23" s="3" t="inlineStr">
        <is>
          <t>MSAR cache: data/msar/2027/md_profiles_summary.json</t>
        </is>
      </c>
      <c r="K23" s="3" t="inlineStr">
        <is>
          <t>Added as a cleaner lower-tier replacement because it does not appear to impose the same regional-ties burden as schools like Western Michigan, while still fitting your research, service, and teamwork profile.</t>
        </is>
      </c>
      <c r="L23" s="3" t="inlineStr">
        <is>
          <t>Our mission at NSU MD is advancing human health through innovation in medical education, research, patient care, and community engagement. We will achieve it utilizing a patient-centered, student-centered, and community-centered approach.</t>
        </is>
      </c>
    </row>
    <row r="24" ht="32" customHeight="1">
      <c r="A24" s="3" t="inlineStr">
        <is>
          <t>Sidney Kimmel Medical College at Thomas Jefferson University</t>
        </is>
      </c>
      <c r="B24" s="3" t="inlineStr">
        <is>
          <t>MD</t>
        </is>
      </c>
      <c r="C24" s="3" t="inlineStr">
        <is>
          <t>Philadelphia, PA</t>
        </is>
      </c>
      <c r="D24" s="4" t="n">
        <v>102480</v>
      </c>
      <c r="E24" s="5" t="n">
        <v>3.89</v>
      </c>
      <c r="F24" s="6" t="n">
        <v>514</v>
      </c>
      <c r="G24" s="7" t="inlineStr">
        <is>
          <t>Target</t>
        </is>
      </c>
      <c r="H24" s="3" t="inlineStr">
        <is>
          <t>Private</t>
        </is>
      </c>
      <c r="I24" s="3" t="inlineStr">
        <is>
          <t>MSAR cache: data/msar/2027/md_profiles_summary.json</t>
        </is>
      </c>
      <c r="J24" s="3" t="inlineStr">
        <is>
          <t>MSAR cache: data/msar/2027/md_profiles_summary.json</t>
        </is>
      </c>
      <c r="K24" s="3" t="inlineStr">
        <is>
          <t>Urban clinical environment and broad mission make this a sensible middle-of-list target.</t>
        </is>
      </c>
      <c r="L24" s="3" t="inlineStr">
        <is>
          <t xml:space="preserve">Sidney Kimmel Medical College at Thomas Jefferson University is committed to: educating physicians who will form and lead the integrated healthcare delivery and research teams of tomorrow; discovering new knowledge that will define the future of clinical care through investigation from the laboratory to the bedside, and into the community; and setting the standard for quality, compassionate and efficient patient care for our community and for the nation. We recognize that a diverse community is imperative to achieving excellence in patient care, education, and research. As we carry out our mission, we are committed to the highest standards of professionalism and aspire to be a community of discovery, learning, and inclusion. </t>
        </is>
      </c>
    </row>
    <row r="25" ht="32" customHeight="1">
      <c r="A25" s="3" t="inlineStr">
        <is>
          <t>University of Illinois College of Medicine</t>
        </is>
      </c>
      <c r="B25" s="3" t="inlineStr">
        <is>
          <t>MD</t>
        </is>
      </c>
      <c r="C25" s="3" t="inlineStr">
        <is>
          <t>Chicago, IL</t>
        </is>
      </c>
      <c r="D25" s="4" t="n">
        <v>123095</v>
      </c>
      <c r="E25" s="5" t="n">
        <v>3.85</v>
      </c>
      <c r="F25" s="6" t="n">
        <v>512</v>
      </c>
      <c r="G25" s="7" t="inlineStr">
        <is>
          <t>Target</t>
        </is>
      </c>
      <c r="H25" s="3" t="inlineStr">
        <is>
          <t>Public (out-of-state COA)</t>
        </is>
      </c>
      <c r="I25" s="3" t="inlineStr">
        <is>
          <t>MSAR cache: data/msar/2027/md_profiles_summary.json</t>
        </is>
      </c>
      <c r="J25" s="3" t="inlineStr">
        <is>
          <t>MSAR cache: data/msar/2027/md_profiles_summary.json</t>
        </is>
      </c>
      <c r="K25" s="3" t="inlineStr">
        <is>
          <t>Public-school add with some out-of-state risk, but still a useful lower-tier target because its prompts and mission fit you well and the academic bar is manageable.</t>
        </is>
      </c>
      <c r="L25" s="3" t="inlineStr">
        <is>
          <t xml:space="preserve">To advance health for everyone through outstanding education, research, clinical care, and social responsibility.
Mission in Action: We achieve this mission through an innovative and evolving curriculum that integrates the basic, clinical and social sciences, and through a learning environment that emphasizes self-directed, individualized and experiential learning on three 
three vibrant campuses that are strategically located to serve the communities of interest for our mission.  We prepare our graduates to provide compassionate patient care; to demonstrate effective inter-professional collaboration, leadership and advocacy in health care; to provide care for underserved urban and rural populations; and to translate research discoveries into clinical practice. Our large network of graduates serve in a variety of academic, public, private, rural, and urban communities. 
Our mission-informed admissions process embraces holistic review where equal consideration is given to experiences, attributes, and metrics and because of our emphasis on our mission we are able to select a cohort of students each year that is broadly diverse with richly varied passions. Our curriculum, educational support, student affairs, and financial aid teams are poised to provide individualized attention for all of our students. 
To prepare you for your medical career, our curriculum:
•	helps you make powerful connections between the fundamentals of scientific knowledge and the decision-making of patient care
•	ensures that you have plenty of skills practice including patient interviewing, clinical reasoning, forming differential diagnoses, and choosing among treatment options
•	teaches you the problem-solving skills and study skills that will prepare you for  the life-long professional skill of medical inquiry
•	engages in a continuous dialog about developing your professional identity and voice, gaining perspective on patients’ micro and macro barriers to receiving care, and placing medical treatment in the context of health of individuals, families, and communities
The College of Medicine recognizes that physicians-in-training must learn how to be effective members of interdisciplinary clinical teams; how to search for up-to-date, credible, professional sources of medical information; and how to navigate the changing landscape of healthcare delivery.
The Illinois Medicine Curriculum is the product of our community’s collaborative design process that includes students, faculty who teach medical sciences, faculty who teach clinical medicine, medical education scholars, instructional designers, and experts in assessment and evaluation. It is characterized by
•	case-based learning as its core
•	teaching of basic sciences with clinical applications
•	maximization of active learning
•	integrated career development and exploration
</t>
        </is>
      </c>
    </row>
    <row r="26" ht="32" customHeight="1">
      <c r="A26" s="3" t="inlineStr">
        <is>
          <t>University of Massachusetts Chan Medical School</t>
        </is>
      </c>
      <c r="B26" s="3" t="inlineStr">
        <is>
          <t>MD</t>
        </is>
      </c>
      <c r="C26" s="3" t="inlineStr">
        <is>
          <t>Worcester, MA</t>
        </is>
      </c>
      <c r="D26" s="4" t="n">
        <v>113221</v>
      </c>
      <c r="E26" s="5" t="n">
        <v>3.86</v>
      </c>
      <c r="F26" s="6" t="n">
        <v>514</v>
      </c>
      <c r="G26" s="7" t="inlineStr">
        <is>
          <t>Target</t>
        </is>
      </c>
      <c r="H26" s="3" t="inlineStr">
        <is>
          <t>Public (out-of-state COA)</t>
        </is>
      </c>
      <c r="I26" s="3" t="inlineStr">
        <is>
          <t>MSAR cache: data/msar/2027/md_profiles_summary.json</t>
        </is>
      </c>
      <c r="J26" s="3" t="inlineStr">
        <is>
          <t>MSAR cache: data/msar/2027/md_profiles_summary.json</t>
        </is>
      </c>
      <c r="K26" s="3" t="inlineStr">
        <is>
          <t>Best MSAR-driven addition from the last pass: friendlier accepted and matriculant stats with strong public-service mission.</t>
        </is>
      </c>
      <c r="L26" s="3" t="inlineStr">
        <is>
          <t xml:space="preserve">The mission of UMass Chan Medical School is to advance the health and well-being of the people of the commonwealth and the world through pioneering advances in education, research and health care delivery. 
The UMass Chan Medical School Office of Admissions is committed to employing the most effective and evidence-based methods to recruit and matriculate future physicians and scientists who will provide the highest quality medical care for our communities in keeping with the mission of the T.H. Chan School of Medicine.  Our graduates will contribute in a meaningful way to the elimination of health care disparities and the establishment of health equity in Massachusetts and beyond.
Our Office of Admissions advances the mission of UMass Chan by applying a mission aligned review process to every eligible application. We place the highest value on applicant characteristics that reflect our institutional commitments such as commitment to health equity, diversity and inclusion, and service to the community.
Our VISTA curriculum has an innovative, integrated structure based on foundational, clinical and health systems sciences. The longitudinal focus topics of health equity, societal forces in health and disease and health systems science are woven into all courses and rotations. At UMass Chan, we believe that patients are whole people, not just a collection of organ systems, and must be seen in the context of their lives. Student and health care provider wellness is highly prioritized as evidenced by the “WIN” week which appears at the end of each foundational block. WIN stands for “What I Need” and is an opportunity for students to rest, focus on health and expose themselves to educational enrichment.    
Our clinical training sites are located across the commonwealth with housing provided where indicated, offering a rich clinical training experience for our learners.  In the Exploration Phase, students participate in 12-week integrated units that ensure exposure to inpatient and ambulatory environments in both acute care and chronic disease management.  Our Horizons phase focuses on advanced clinical skills and preparation for residency. 
A unique feature of the VISTA curriculum which is closely aligned with the UMass Chan mission is our pathways. At the main campus in Worcester MA, students will select a pathway for educational focus during their early clinical learning time. These pathways range from “Entrepreneurship Biomedical Innovation and Design” to “Structural Inequity, Advocacy and Justice”. There are two UMass Chan Medical School regional campuses each with their own pathway focus. At our PURCH program at Baystate Health systems, students focus on Population-based Urban and Rural Community Health. Our LEAD@Lahey program at Lahey Health focuses on leadership, innovation, and Health Systems Science. The T.H. Chan School of Medicine mission is woven into everything we do. 
</t>
        </is>
      </c>
    </row>
    <row r="27" ht="32" customHeight="1">
      <c r="A27" s="3" t="inlineStr">
        <is>
          <t>University of Wisconsin School of Medicine and Public Health</t>
        </is>
      </c>
      <c r="B27" s="3" t="inlineStr">
        <is>
          <t>MD</t>
        </is>
      </c>
      <c r="C27" s="3" t="n"/>
      <c r="D27" s="4" t="n">
        <v>97464</v>
      </c>
      <c r="E27" s="5" t="n">
        <v>3.87</v>
      </c>
      <c r="F27" s="6" t="n">
        <v>512</v>
      </c>
      <c r="G27" s="7" t="inlineStr">
        <is>
          <t>Target</t>
        </is>
      </c>
      <c r="H27" s="3" t="inlineStr">
        <is>
          <t>Public (out-of-state COA)</t>
        </is>
      </c>
      <c r="I27" s="3" t="inlineStr">
        <is>
          <t>MSAR cache: data/msar/2027/md_profiles_summary.json</t>
        </is>
      </c>
      <c r="J27" s="3" t="inlineStr">
        <is>
          <t>MSAR cache: data/msar/2027/md_profiles_summary.json</t>
        </is>
      </c>
      <c r="K27" s="3" t="inlineStr">
        <is>
          <t>Public-health framing and community mission fit well, though the public-school dynamics keep it out of the safety tier.</t>
        </is>
      </c>
      <c r="L27" s="3" t="inlineStr">
        <is>
          <t>Mission: Together, we are advancing health and health equity through remarkable service to patients and communities, outstanding education, and innovative research.
Vision: Healthy people. Healthy communities.
Values:
* Integrity and Accountability – Every person, every action, every time.
* Compassion – Treat all with kindness, understanding, and empathy.
* Social Impact and Belonging – Advance health and health equity by respecting the rights, dignity, and differences of all.
* Excellence – Strive for the very best in all we do.</t>
        </is>
      </c>
    </row>
    <row r="28" ht="32" customHeight="1">
      <c r="A28" s="3" t="inlineStr">
        <is>
          <t>Vermont Larner College of Medicine</t>
        </is>
      </c>
      <c r="B28" s="3" t="inlineStr">
        <is>
          <t>MD</t>
        </is>
      </c>
      <c r="C28" s="3" t="inlineStr">
        <is>
          <t>Burlington, VT</t>
        </is>
      </c>
      <c r="D28" s="4" t="n">
        <v>105472</v>
      </c>
      <c r="E28" s="5" t="n">
        <v>3.8</v>
      </c>
      <c r="F28" s="6" t="n">
        <v>513</v>
      </c>
      <c r="G28" s="7" t="inlineStr">
        <is>
          <t>Target</t>
        </is>
      </c>
      <c r="H28" s="3" t="inlineStr">
        <is>
          <t>Public (out-of-state COA)</t>
        </is>
      </c>
      <c r="I28" s="3" t="inlineStr">
        <is>
          <t>MSAR cache: data/msar/2027/md_profiles_summary.json</t>
        </is>
      </c>
      <c r="J28" s="3" t="inlineStr">
        <is>
          <t>MSAR cache: data/msar/2027/md_profiles_summary.json</t>
        </is>
      </c>
      <c r="K28" s="3" t="inlineStr">
        <is>
          <t>Good balance of humanistic training and manageable stats; one of the steadier mission-fit targets on the list.</t>
        </is>
      </c>
      <c r="L28" s="3" t="inlineStr">
        <is>
          <t xml:space="preserve">We celebrate over 200 years of excellence in educating physicians and physician-scientists, and in serving our local and global community.
The mission of the Larner College of Medicine at The University of Vermont is to educate a diverse group of dedicated physicians and biomedical scientists to serve across all the disciplines of medicine; to bring hope to patients by advancing medical knowledge through research; to integrate education and research to advance the quality and accessibility of patient care; and to engage with our communities to benefit Vermont and the world. We achieve this mission through: 
Admissions: Mission aligned 
Mission Aligned Selection and Retention Process: Our applicant screening, interview, and acceptance processes are guided by our mission. Each matriculating student demonstrates excellence in one or more of the specific tenets of our mission, whether through research, experience with rural and disadvantaged communities, or a significant commitment to the betterment of humanity. At the core of our university is a strong mission for social justice, which appears in our medical school's mission. Because we value the unique benefits of social learning, our interview day includes a team-based activity to help our candidates become familiar with this teaching approach.
Student Affairs: Individualized- Timely- Compassionate 
A strong, interdisciplinary, and robust team of student support professionals that "hold" our students as soon as they commit to the first day of Orientation until the day they are hooded and earn their MD. The team includes Personal Health &amp; Well-being, Academic Support, &amp; Intensive Career Planning, spanning both of our campuses. 
Curriculum: Innovative- Learner Centered- Engaging- Relevant
Our active learning approach to instruction is built on adult learning principles and proven educational pedagogy. Our students construct knowledge through a variety of teaching modalities. Larner provides rural and urban clinical opportunities on two campuses in Vermont and Connecticut, where our learners engage with diverse patient populations. Our two-campus model also allows students to select an academic (VT) or community (CT) setting for their clinical rotations. Each student is required to complete a community-focused public health project in their first year, which positions them to learn how to be present in a community, because this is their passion. Check out our website for additional curricular opportunities!
The secret to achieving our mission is our well-defined culture of professionalism. Each student who is admitted to Larner can expect to enter a community that is committed to a culture of professionalism: 
Our Larner College of Medicine community upholds the highest standards of professionalism as we pursue lifelong learning and improvement. We demonstrate professionalism through integrity, accountability, compassion, altruism, and social responsibility. We honor the trust our society has placed in us as stewards of the art and science of medicine, guided by cultural humility, kindness, and respect in our daily interactions. We expect all members of our community to embrace these principles of professionalism as we strive to conduct and support patient care, research, and education that are second to none. 
</t>
        </is>
      </c>
    </row>
    <row r="29" ht="32" customHeight="1">
      <c r="A29" s="3" t="inlineStr">
        <is>
          <t>Wake Forest University School of Medicine</t>
        </is>
      </c>
      <c r="B29" s="3" t="inlineStr">
        <is>
          <t>MD</t>
        </is>
      </c>
      <c r="C29" s="3" t="inlineStr">
        <is>
          <t>Winston-Salem, NC</t>
        </is>
      </c>
      <c r="D29" s="4" t="n">
        <v>110448</v>
      </c>
      <c r="E29" s="5" t="n">
        <v>3.87</v>
      </c>
      <c r="F29" s="6" t="n">
        <v>512</v>
      </c>
      <c r="G29" s="7" t="inlineStr">
        <is>
          <t>Target</t>
        </is>
      </c>
      <c r="H29" s="3" t="inlineStr">
        <is>
          <t>Private</t>
        </is>
      </c>
      <c r="I29" s="3" t="inlineStr">
        <is>
          <t>MSAR cache: data/msar/2027/md_profiles_summary.json</t>
        </is>
      </c>
      <c r="J29" s="3" t="inlineStr">
        <is>
          <t>MSAR cache: data/msar/2027/md_profiles_summary.json</t>
        </is>
      </c>
      <c r="K29" s="3" t="inlineStr">
        <is>
          <t>Research and service both matter here, making it a more grounded target than the schools removed for prestige-heavy risk.</t>
        </is>
      </c>
      <c r="L29" s="3" t="inlineStr">
        <is>
          <t xml:space="preserve">The mission of the Wake Forest University School of Medicine (WFUSM) is to educate future physicians who are empowered to transform health for all. Our vision is to be national leaders in medical education and innovation, graduating purpose-driven physicians committed to improving the health of individuals and communities through lifelong learning.
</t>
        </is>
      </c>
    </row>
    <row r="30" ht="32" customHeight="1">
      <c r="A30" s="3" t="inlineStr">
        <is>
          <t>Emory University School of Medicine</t>
        </is>
      </c>
      <c r="B30" s="3" t="inlineStr">
        <is>
          <t>MD</t>
        </is>
      </c>
      <c r="C30" s="3" t="inlineStr">
        <is>
          <t>Atlanta, GA</t>
        </is>
      </c>
      <c r="D30" s="4" t="n">
        <v>109402</v>
      </c>
      <c r="E30" s="5" t="n">
        <v>3.89</v>
      </c>
      <c r="F30" s="6" t="n">
        <v>517</v>
      </c>
      <c r="G30" s="7" t="inlineStr">
        <is>
          <t>Reach</t>
        </is>
      </c>
      <c r="H30" s="3" t="inlineStr">
        <is>
          <t>Private</t>
        </is>
      </c>
      <c r="I30" s="3" t="inlineStr">
        <is>
          <t>MSAR cache: data/msar/2027/md_profiles_summary.json</t>
        </is>
      </c>
      <c r="J30" s="3" t="inlineStr">
        <is>
          <t>MSAR cache: data/msar/2027/md_profiles_summary.json</t>
        </is>
      </c>
      <c r="K30" s="3" t="inlineStr">
        <is>
          <t>Research-forward reach that still rewards service and leadership; worth keeping because your MCAT and conference record help here.</t>
        </is>
      </c>
      <c r="L30" s="3" t="inlineStr">
        <is>
          <t>We are committed to recruiting and developing a class of students with the potential to become innovative leaders in biomedical science, public health, medical education, and clinical care. We foster a culture that integrates leading-edge basic, translational, and clinical research to further the ability to deliver quality health care, predict illness, treat the sick, and promote the health of our patients and our communities.  Our mission objectives are as follows:
-Provide outstanding educational programs for medical and graduate students and healthcare professionals
-Develop outstanding lifelong learners who will provide the highest quality compassionate care and will serve the needs of their communities in the best traditions of our profession
-Conduct innovative and collaborative research and integrate this knowledge into the practice of medicine
-Advance the early detection, treatment, and prevention of disease
-Ensure the highest ethical and professional standards in all endeavors</t>
        </is>
      </c>
    </row>
    <row r="31" ht="32" customHeight="1">
      <c r="A31" s="3" t="inlineStr">
        <is>
          <t>Kaiser Permanente Bernard J. Tyson School of Medicine</t>
        </is>
      </c>
      <c r="B31" s="3" t="inlineStr">
        <is>
          <t>MD</t>
        </is>
      </c>
      <c r="C31" s="3" t="inlineStr">
        <is>
          <t>Pasadena, CA</t>
        </is>
      </c>
      <c r="D31" s="4" t="n">
        <v>39636</v>
      </c>
      <c r="E31" s="5" t="n">
        <v>3.87</v>
      </c>
      <c r="F31" s="6" t="n">
        <v>517</v>
      </c>
      <c r="G31" s="7" t="inlineStr">
        <is>
          <t>Reach</t>
        </is>
      </c>
      <c r="H31" s="3" t="inlineStr">
        <is>
          <t>Private</t>
        </is>
      </c>
      <c r="I31" s="3" t="inlineStr">
        <is>
          <t>MSAR cache: data/msar/2027/md_profiles_summary.json</t>
        </is>
      </c>
      <c r="J31" s="3" t="inlineStr">
        <is>
          <t>MSAR cache: data/msar/2027/md_profiles_summary.json</t>
        </is>
      </c>
      <c r="K31" s="3" t="inlineStr">
        <is>
          <t>Strong humanism-and-equity fit; still selective, but more defensible than some of the private prestige schools that were cut.</t>
        </is>
      </c>
      <c r="L31" s="3" t="inlineStr">
        <is>
          <t xml:space="preserve">The Kaiser Permanente Bernard J. Tyson School of Medicine strives to provide a world-class education for every one of our students.
We aim to ignite a passion for lifelong learning, a desire to serve patients, and an unwavering commitment to improve the health and well-being of communities.  </t>
        </is>
      </c>
    </row>
    <row r="32" ht="32" customHeight="1">
      <c r="A32" s="3" t="inlineStr">
        <is>
          <t>New York Medical College</t>
        </is>
      </c>
      <c r="B32" s="3" t="inlineStr">
        <is>
          <t>MD</t>
        </is>
      </c>
      <c r="C32" s="3" t="inlineStr">
        <is>
          <t>Valhalla, NY</t>
        </is>
      </c>
      <c r="D32" s="4" t="n">
        <v>102045</v>
      </c>
      <c r="E32" s="5" t="n">
        <v>3.89</v>
      </c>
      <c r="F32" s="6" t="n">
        <v>517</v>
      </c>
      <c r="G32" s="7" t="inlineStr">
        <is>
          <t>Reach</t>
        </is>
      </c>
      <c r="H32" s="3" t="inlineStr">
        <is>
          <t>Private</t>
        </is>
      </c>
      <c r="I32" s="3" t="inlineStr">
        <is>
          <t>MSAR cache: data/msar/2027/md_profiles_summary.json</t>
        </is>
      </c>
      <c r="J32" s="3" t="inlineStr">
        <is>
          <t>MSAR cache: data/msar/2027/md_profiles_summary.json</t>
        </is>
      </c>
      <c r="K32" s="3" t="inlineStr">
        <is>
          <t>Private target with room for your high MCAT to help offset GPA risk.</t>
        </is>
      </c>
      <c r="L32" s="3" t="inlineStr">
        <is>
          <t>New York Medical College is a graduate health sciences university whose purpose is to educate physicians, scientists, public health specialists, and other healthcare professionals, and to conduct biomedical and population-based research. Through its faculty and affiliated clinical partners, the College provides service to its community in an atmosphere of excellence, scholarship, and professionalism. New York Medical College believes the rich diversity of its student body and faculty is important to its mission of educating outstanding health care professionals for the multicultural world of the 21st century. This commitment to diversity and inclusion is woven into the fabric of the institution.  Students come from across the US, representing a broad range of racial, ethnic, cultural, economic, and educational backgrounds.</t>
        </is>
      </c>
    </row>
    <row r="33" ht="32" customHeight="1">
      <c r="A33" s="3" t="inlineStr">
        <is>
          <t>University of California San Diego School of Medicine</t>
        </is>
      </c>
      <c r="B33" s="3" t="inlineStr">
        <is>
          <t>MD</t>
        </is>
      </c>
      <c r="C33" s="3" t="inlineStr">
        <is>
          <t>La Jolla, CA</t>
        </is>
      </c>
      <c r="D33" s="4" t="n">
        <v>75043</v>
      </c>
      <c r="E33" s="5" t="n">
        <v>3.92</v>
      </c>
      <c r="F33" s="6" t="n">
        <v>516</v>
      </c>
      <c r="G33" s="7" t="inlineStr">
        <is>
          <t>Reach</t>
        </is>
      </c>
      <c r="H33" s="3" t="inlineStr">
        <is>
          <t>CA public (in-state COA)</t>
        </is>
      </c>
      <c r="I33" s="3" t="inlineStr">
        <is>
          <t>MSAR cache: data/msar/2027/md_profiles_summary.json</t>
        </is>
      </c>
      <c r="J33" s="3" t="inlineStr">
        <is>
          <t>MSAR cache: data/msar/2027/md_profiles_summary.json</t>
        </is>
      </c>
      <c r="K33" s="3" t="inlineStr">
        <is>
          <t>Keep as a California reach with strong research upside and a real fit for your research plus service profile.</t>
        </is>
      </c>
      <c r="L33" s="3" t="inlineStr">
        <is>
          <t>The mission of the UC San Diego School of Medicine is to provide skilled, compassionate physicians well-trained to practice medicine who are sensitive to the needs of the special populations of our region and the nation. In addition, we strive to build on our exceptional biomedical, behavioral and health services research strengths to extend the boundaries of the art and science of medicine through continued research and the preparation of future academicians. In these ways, we also strive to improve the overall health of the population.</t>
        </is>
      </c>
    </row>
    <row r="34" ht="32" customHeight="1">
      <c r="A34" s="3" t="inlineStr">
        <is>
          <t>University of Miami Leonard M. Miller School of Medicine</t>
        </is>
      </c>
      <c r="B34" s="3" t="inlineStr">
        <is>
          <t>MD</t>
        </is>
      </c>
      <c r="C34" s="3" t="inlineStr">
        <is>
          <t>Miami, FL</t>
        </is>
      </c>
      <c r="D34" s="4" t="n">
        <v>112815</v>
      </c>
      <c r="E34" s="5" t="n">
        <v>3.9</v>
      </c>
      <c r="F34" s="6" t="n">
        <v>516</v>
      </c>
      <c r="G34" s="7" t="inlineStr">
        <is>
          <t>Reach</t>
        </is>
      </c>
      <c r="H34" s="3" t="inlineStr">
        <is>
          <t>Private</t>
        </is>
      </c>
      <c r="I34" s="3" t="inlineStr">
        <is>
          <t>MSAR cache: data/msar/2027/md_profiles_summary.json</t>
        </is>
      </c>
      <c r="J34" s="3" t="inlineStr">
        <is>
          <t>MSAR cache: data/msar/2027/md_profiles_summary.json</t>
        </is>
      </c>
      <c r="K34" s="3" t="inlineStr">
        <is>
          <t>High-upside private reach that still values community-facing work; keep only if you want some ambition in the final list.</t>
        </is>
      </c>
      <c r="L34" s="3" t="inlineStr">
        <is>
          <t>The University of Miami Miller School of Medicine’s mission is to provide state-of-the-art, translational and evidence-based information to enhance the quality of education, research, and clinical practice, to foster professional growth, to stimulate intellectual (academic) curiosity, and to promote excellence in the delivery of health care in South Florida and internationally. These educational activities will be relevant to medical knowledge, clinical performance, soundly performed research and/or patient outcomes.</t>
        </is>
      </c>
    </row>
    <row r="35" ht="32" customHeight="1">
      <c r="A35" s="3" t="n"/>
      <c r="B35" s="3" t="n"/>
      <c r="C35" s="3" t="n"/>
      <c r="D35" s="4" t="n"/>
      <c r="E35" s="5" t="n"/>
      <c r="F35" s="6" t="n"/>
      <c r="G35" s="7" t="n"/>
      <c r="H35" s="3" t="n"/>
      <c r="I35" s="3" t="n"/>
      <c r="J35" s="3" t="n"/>
      <c r="K35" s="3" t="n"/>
      <c r="L35" s="3" t="n"/>
    </row>
    <row r="36" ht="32" customHeight="1">
      <c r="A36" s="3" t="n"/>
      <c r="B36" s="3" t="n"/>
      <c r="C36" s="3" t="n"/>
      <c r="D36" s="4" t="n"/>
      <c r="E36" s="5" t="n"/>
      <c r="F36" s="6" t="n"/>
      <c r="G36" s="7" t="n"/>
      <c r="H36" s="3" t="n"/>
      <c r="I36" s="3" t="n"/>
      <c r="J36" s="3" t="n"/>
      <c r="K36" s="3" t="n"/>
      <c r="L36" s="3" t="n"/>
    </row>
    <row r="37" ht="32" customHeight="1">
      <c r="A37" s="3" t="n"/>
      <c r="B37" s="3" t="n"/>
      <c r="C37" s="3" t="n"/>
      <c r="D37" s="4" t="n"/>
      <c r="E37" s="5" t="n"/>
      <c r="F37" s="6" t="n"/>
      <c r="G37" s="7" t="n"/>
      <c r="H37" s="3" t="n"/>
      <c r="I37" s="3" t="n"/>
      <c r="J37" s="3" t="n"/>
      <c r="K37" s="3" t="n"/>
      <c r="L37" s="3" t="n"/>
    </row>
    <row r="38" ht="32" customHeight="1">
      <c r="A38" s="3" t="n"/>
      <c r="B38" s="3" t="n"/>
      <c r="C38" s="3" t="n"/>
      <c r="D38" s="4" t="n"/>
      <c r="E38" s="5" t="n"/>
      <c r="F38" s="6" t="n"/>
      <c r="G38" s="7" t="n"/>
      <c r="H38" s="3" t="n"/>
      <c r="I38" s="3" t="n"/>
      <c r="J38" s="3" t="n"/>
      <c r="K38" s="3" t="n"/>
      <c r="L38" s="3" t="n"/>
    </row>
    <row r="39" ht="32" customHeight="1">
      <c r="A39" s="3" t="n"/>
      <c r="B39" s="3" t="n"/>
      <c r="C39" s="3" t="n"/>
      <c r="D39" s="4" t="n"/>
      <c r="E39" s="5" t="n"/>
      <c r="F39" s="6" t="n"/>
      <c r="G39" s="7" t="n"/>
      <c r="H39" s="3" t="n"/>
      <c r="I39" s="3" t="n"/>
      <c r="J39" s="3" t="n"/>
      <c r="K39" s="3" t="n"/>
      <c r="L39" s="3" t="n"/>
    </row>
    <row r="40"/>
    <row r="41"/>
    <row r="42"/>
    <row r="43"/>
    <row r="44"/>
    <row r="45"/>
    <row r="46"/>
    <row r="47"/>
    <row r="48"/>
    <row r="49"/>
    <row r="50"/>
    <row r="51"/>
    <row r="52"/>
    <row r="53"/>
    <row r="54"/>
    <row r="55"/>
  </sheetData>
  <autoFilter ref="A4:L34"/>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10" defaultColWidth="8.83203125" defaultRowHeight="15"/>
  <cols>
    <col width="60" customWidth="1" min="1" max="1"/>
    <col width="12" customWidth="1" min="2" max="2"/>
    <col width="18" customWidth="1" min="4" max="4"/>
    <col width="10" customWidth="1" min="5" max="6"/>
  </cols>
  <sheetData>
    <row r="1" ht="19" customHeight="1">
      <c r="A1" s="11" t="inlineStr">
        <is>
          <t>Selection notes</t>
        </is>
      </c>
    </row>
    <row r="2" ht="19" customHeight="1">
      <c r="A2" s="11" t="inlineStr">
        <is>
          <t>Active list increased to 35 schools on May 30, 2026.</t>
        </is>
      </c>
    </row>
    <row r="3" ht="19" customHeight="1">
      <c r="A3" s="11" t="inlineStr">
        <is>
          <t>This version reflects a live 2027 MSAR pass from the signed-in portal on May 30, 2026.</t>
        </is>
      </c>
    </row>
    <row r="4" ht="19" customHeight="1">
      <c r="A4" s="11" t="inlineStr">
        <is>
          <t>Removed: Geisel, Tufts, Ohio State, and Iowa Carver because their live accepted profiles remained too top-heavy for your GPA and odds goal.</t>
        </is>
      </c>
    </row>
    <row r="5" ht="19" customHeight="1">
      <c r="A5" s="11" t="inlineStr">
        <is>
          <t>I kept some mission-coherent reaches, but reclassified schools like Kaiser and NYMC upward in risk to better match the live data.</t>
        </is>
      </c>
    </row>
    <row r="6">
      <c r="A6" t="inlineStr">
        <is>
          <t>Current active list size: 30. 'Safety' still means lower relative risk, not a guarantee.</t>
        </is>
      </c>
    </row>
    <row r="9">
      <c r="D9" t="inlineStr">
        <is>
          <t>Average reported stats by bucket</t>
        </is>
      </c>
    </row>
    <row r="10">
      <c r="B10">
        <f>COUNTIF('MD Schools'!$G$5:$G$200,"Safety")</f>
        <v/>
      </c>
      <c r="D10" t="inlineStr">
        <is>
          <t>Safety</t>
        </is>
      </c>
      <c r="E10">
        <f>AVERAGEIF('MD Schools'!$G$5:$G$200,"Safety",'MD Schools'!$E$5:$E$200)</f>
        <v/>
      </c>
      <c r="F10">
        <f>AVERAGEIF('MD Schools'!$G$5:$G$200,"Safety",'MD Schools'!$F$5:$F$200)</f>
        <v/>
      </c>
    </row>
    <row r="11">
      <c r="B11">
        <f>COUNTIF('MD Schools'!$G$5:$G$200,"Target")</f>
        <v/>
      </c>
      <c r="D11" t="inlineStr">
        <is>
          <t>Target</t>
        </is>
      </c>
      <c r="E11">
        <f>AVERAGEIF('MD Schools'!$G$5:$G$200,"Target",'MD Schools'!$E$5:$E$200)</f>
        <v/>
      </c>
      <c r="F11">
        <f>AVERAGEIF('MD Schools'!$G$5:$G$200,"Target",'MD Schools'!$F$5:$F$200)</f>
        <v/>
      </c>
    </row>
    <row r="12">
      <c r="B12">
        <f>COUNTIF('MD Schools'!$G$5:$G$200,"Reach")</f>
        <v/>
      </c>
      <c r="D12" t="inlineStr">
        <is>
          <t>Reach</t>
        </is>
      </c>
      <c r="E12">
        <f>AVERAGEIF('MD Schools'!$G$5:$G$200,"Reach",'MD Schools'!$E$5:$E$200)</f>
        <v/>
      </c>
      <c r="F12">
        <f>AVERAGEIF('MD Schools'!$G$5:$G$200,"Reach",'MD Schools'!$F$5:$F$200)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2026-04-08T21:38:51Z</dcterms:created>
  <dcterms:modified xmlns:dcterms="http://purl.org/dc/terms/" xmlns:xsi="http://www.w3.org/2001/XMLSchema-instance" xsi:type="dcterms:W3CDTF">2026-05-30T16:40:24Z</dcterms:modified>
  <cp:lastModifiedBy>Jin Saeki Ko</cp:lastModifiedBy>
</cp:coreProperties>
</file>