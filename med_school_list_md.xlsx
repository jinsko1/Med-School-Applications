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40" windowWidth="29400" windowHeight="18480" tabRatio="600" firstSheet="0" activeTab="0" autoFilterDateGrouping="1"/>
  </bookViews>
  <sheets>
    <sheet xmlns:r="http://schemas.openxmlformats.org/officeDocument/2006/relationships" name="MD Schools" sheetId="1" state="visible" r:id="rId1"/>
    <sheet xmlns:r="http://schemas.openxmlformats.org/officeDocument/2006/relationships" name="Summary" sheetId="2" state="visible" r:id="rId2"/>
  </sheets>
  <definedNames>
    <definedName name="_xlnm._FilterDatabase" localSheetId="0" hidden="1">'MD Schools'!$A$4:$L$39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\$#,##0"/>
  </numFmts>
  <fonts count="5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FF666666"/>
      <sz val="11"/>
    </font>
    <font>
      <name val="Calibri"/>
      <b val="1"/>
      <color rgb="FFFFFFFF"/>
      <sz val="11"/>
    </font>
    <font>
      <name val="Calibri"/>
      <b val="1"/>
      <sz val="11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FCE4D6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2" fontId="0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0" fillId="0" borderId="1" pivotButton="0" quotePrefix="0" xfId="0"/>
    <xf numFmtId="0" fontId="4" fillId="0" borderId="1" pivotButton="0" quotePrefix="0" xfId="0"/>
    <xf numFmtId="2" fontId="0" fillId="0" borderId="1" pivotButton="0" quotePrefix="0" xfId="0"/>
    <xf numFmtId="1" fontId="0" fillId="0" borderId="1" pivotButton="0" quotePrefix="0" xfId="0"/>
    <xf numFmtId="0" fontId="2" fillId="0" borderId="1" applyAlignment="1" pivotButton="0" quotePrefix="0" xfId="0">
      <alignment wrapText="1"/>
    </xf>
    <xf numFmtId="0" fontId="0" fillId="0" borderId="0" pivotButton="0" quotePrefix="0" xfId="0"/>
    <xf numFmtId="0" fontId="1" fillId="0" borderId="1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MDSchoolTable" displayName="MDSchoolTable" ref="A4:K35" headerRowCount="1">
  <autoFilter ref="A4:K35"/>
  <sortState ref="A5:K35">
    <sortCondition ref="E4:E35"/>
  </sortState>
  <tableColumns count="11">
    <tableColumn id="1" name="School"/>
    <tableColumn id="2" name="Degree"/>
    <tableColumn id="3" name="City"/>
    <tableColumn id="4" name="Estimated Annual COA ($)"/>
    <tableColumn id="5" name="Reported GPA"/>
    <tableColumn id="6" name="Reported MCAT"/>
    <tableColumn id="7" name="Reach/Target/Safety"/>
    <tableColumn id="8" name="COA Basis"/>
    <tableColumn id="9" name="Stats Source URL"/>
    <tableColumn id="10" name="COA Source URL"/>
    <tableColumn id="11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9"/>
  <sheetViews>
    <sheetView tabSelected="1" workbookViewId="0">
      <pane ySplit="4" topLeftCell="A5" activePane="bottomLeft" state="frozen"/>
      <selection pane="bottomLeft" activeCell="G26" sqref="G26"/>
    </sheetView>
  </sheetViews>
  <sheetFormatPr baseColWidth="10" defaultColWidth="8.83203125" defaultRowHeight="15"/>
  <cols>
    <col width="44" customWidth="1" style="15" min="1" max="1"/>
    <col width="10" customWidth="1" style="15" min="2" max="2"/>
    <col width="22" customWidth="1" style="15" min="3" max="3"/>
    <col width="22" customWidth="1" style="15" min="4" max="4"/>
    <col width="14" customWidth="1" style="15" min="5" max="6"/>
    <col width="14" customWidth="1" style="15" min="6" max="6"/>
    <col width="18" customWidth="1" style="15" min="7" max="7"/>
    <col width="28" customWidth="1" style="15" min="8" max="8"/>
    <col width="42" customWidth="1" style="15" min="9" max="10"/>
    <col width="42" customWidth="1" style="15" min="10" max="10"/>
    <col width="62" customWidth="1" style="15" min="11" max="11"/>
    <col width="76" customWidth="1" style="15" min="12" max="12"/>
  </cols>
  <sheetData>
    <row r="1" ht="19" customHeight="1" s="15">
      <c r="A1" s="16" t="inlineStr">
        <is>
          <t>U.S. MD school list tailored for 3.73 GPA / 514-520 MCAT / California resident / GPA cap 3.85</t>
        </is>
      </c>
      <c r="B1" s="10" t="n"/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</row>
    <row r="2">
      <c r="A2" s="14" t="inlineStr">
        <is>
          <t>MD-only schools with reported GPA at or below 3.85. Mission fit was weighted toward research, hospice/service, restorative justice/community work, teaching, and student leadership, with extra weight on California options.</t>
        </is>
      </c>
      <c r="B2" s="10" t="n"/>
      <c r="C2" s="10" t="n"/>
      <c r="D2" s="10" t="n"/>
      <c r="E2" s="10" t="n"/>
      <c r="F2" s="10" t="n"/>
      <c r="G2" s="10" t="n"/>
      <c r="H2" s="10" t="n"/>
      <c r="I2" s="10" t="n"/>
      <c r="J2" s="10" t="n"/>
      <c r="K2" s="10" t="n"/>
      <c r="L2" s="10" t="n"/>
    </row>
    <row r="3">
      <c r="L3" s="17" t="n"/>
    </row>
    <row r="4" ht="32" customHeight="1" s="15">
      <c r="A4" s="2" t="inlineStr">
        <is>
          <t>School</t>
        </is>
      </c>
      <c r="B4" s="2" t="inlineStr">
        <is>
          <t>Degree</t>
        </is>
      </c>
      <c r="C4" s="2" t="inlineStr">
        <is>
          <t>City</t>
        </is>
      </c>
      <c r="D4" s="2" t="inlineStr">
        <is>
          <t>Estimated Annual COA ($)</t>
        </is>
      </c>
      <c r="E4" s="2" t="inlineStr">
        <is>
          <t>Reported GPA</t>
        </is>
      </c>
      <c r="F4" s="2" t="inlineStr">
        <is>
          <t>Reported MCAT</t>
        </is>
      </c>
      <c r="G4" s="2" t="inlineStr">
        <is>
          <t>Reach/Target/Safety</t>
        </is>
      </c>
      <c r="H4" s="2" t="inlineStr">
        <is>
          <t>COA Basis</t>
        </is>
      </c>
      <c r="I4" s="2" t="inlineStr">
        <is>
          <t>Stats Source URL</t>
        </is>
      </c>
      <c r="J4" s="2" t="inlineStr">
        <is>
          <t>COA Source URL</t>
        </is>
      </c>
      <c r="K4" s="2" t="inlineStr">
        <is>
          <t>Notes</t>
        </is>
      </c>
      <c r="L4" s="2" t="inlineStr">
        <is>
          <t>Mission Statement</t>
        </is>
      </c>
    </row>
    <row r="5" ht="32" customHeight="1" s="15">
      <c r="A5" s="3" t="inlineStr">
        <is>
          <t>UC Davis School of Medicine</t>
        </is>
      </c>
      <c r="B5" s="3" t="inlineStr">
        <is>
          <t>MD</t>
        </is>
      </c>
      <c r="C5" s="3" t="inlineStr">
        <is>
          <t>Sacramento, CA</t>
        </is>
      </c>
      <c r="D5" s="4" t="n">
        <v>79713</v>
      </c>
      <c r="E5" s="5" t="n">
        <v>3.58</v>
      </c>
      <c r="F5" s="6" t="n">
        <v>510</v>
      </c>
      <c r="G5" s="7" t="inlineStr">
        <is>
          <t>Safety</t>
        </is>
      </c>
      <c r="H5" s="3" t="inlineStr">
        <is>
          <t>CA public (in-state COA)</t>
        </is>
      </c>
      <c r="I5" s="3" t="inlineStr">
        <is>
          <t>https://www.medcmp.com/university-of-california-davis-school-of-medicine/</t>
        </is>
      </c>
      <c r="J5" s="3" t="inlineStr">
        <is>
          <t>https://www.medcmp.com/university-of-california-davis-school-of-medicine/</t>
        </is>
      </c>
      <c r="K5" s="3" t="inlineStr">
        <is>
          <t>Strong in-state value with clear community-health and service alignment for your hospice, clinic, and justice-oriented work.</t>
        </is>
      </c>
      <c r="L5" s="3" t="inlineStr">
        <is>
          <t>Transform lives by improving health through education, research, clinical care, and community.</t>
        </is>
      </c>
    </row>
    <row r="6" ht="48" customHeight="1" s="15">
      <c r="A6" s="3" t="inlineStr">
        <is>
          <t>University of California San Diego School of Medicine</t>
        </is>
      </c>
      <c r="B6" s="3" t="inlineStr">
        <is>
          <t>MD</t>
        </is>
      </c>
      <c r="C6" s="3" t="inlineStr">
        <is>
          <t>La Jolla, CA</t>
        </is>
      </c>
      <c r="D6" s="4" t="n">
        <v>68962</v>
      </c>
      <c r="E6" s="5" t="n">
        <v>3.83</v>
      </c>
      <c r="F6" s="6" t="n">
        <v>514</v>
      </c>
      <c r="G6" s="7" t="inlineStr">
        <is>
          <t>Target</t>
        </is>
      </c>
      <c r="H6" s="3" t="inlineStr">
        <is>
          <t>CA public (in-state COA)</t>
        </is>
      </c>
      <c r="I6" s="3" t="inlineStr">
        <is>
          <t>https://www.medcmp.com/university-of-california-san-diego-school-of-medicine/</t>
        </is>
      </c>
      <c r="J6" s="3" t="inlineStr">
        <is>
          <t>https://www.medcmp.com/university-of-california-san-diego-school-of-medicine/cost-of-attendance/</t>
        </is>
      </c>
      <c r="K6" s="3" t="inlineStr">
        <is>
          <t>Good California fit for a research-active applicant who also brings teaching and patient-facing experience.</t>
        </is>
      </c>
      <c r="L6" s="3" t="inlineStr">
        <is>
          <t>Serve communities and create a healthier world through research, medical education, and clinical care.</t>
        </is>
      </c>
    </row>
    <row r="7" ht="48" customHeight="1" s="15">
      <c r="A7" s="3" t="inlineStr">
        <is>
          <t>Kaiser Permanente Bernard J. Tyson School of Medicine</t>
        </is>
      </c>
      <c r="B7" s="3" t="inlineStr">
        <is>
          <t>MD</t>
        </is>
      </c>
      <c r="C7" s="3" t="inlineStr">
        <is>
          <t>Pasadena, CA</t>
        </is>
      </c>
      <c r="D7" s="4" t="n">
        <v>102975</v>
      </c>
      <c r="E7" s="5" t="n">
        <v>3.84</v>
      </c>
      <c r="F7" s="6" t="n">
        <v>515</v>
      </c>
      <c r="G7" s="7" t="inlineStr">
        <is>
          <t>Target</t>
        </is>
      </c>
      <c r="H7" s="3" t="inlineStr">
        <is>
          <t>Private</t>
        </is>
      </c>
      <c r="I7" s="3" t="inlineStr">
        <is>
          <t>https://www.medcmp.com/kaiser-permanente-school-of-medicine/</t>
        </is>
      </c>
      <c r="J7" s="3" t="inlineStr">
        <is>
          <t>https://www.medcmp.com/kaiser-permanente-school-of-medicine/cost-of-attendance/</t>
        </is>
      </c>
      <c r="K7" s="3" t="inlineStr">
        <is>
          <t>Excellent fit for systems thinking, health equity, student leadership, and service-centered clinical motivation.</t>
        </is>
      </c>
      <c r="L7" s="3" t="inlineStr">
        <is>
          <t>Provide a world-class medical education that ignites service and improves the health of patients and communities.</t>
        </is>
      </c>
    </row>
    <row r="8" ht="48" customHeight="1" s="15">
      <c r="A8" s="3" t="inlineStr">
        <is>
          <t>Keck School of Medicine of USC</t>
        </is>
      </c>
      <c r="B8" s="3" t="inlineStr">
        <is>
          <t>MD</t>
        </is>
      </c>
      <c r="C8" s="3" t="inlineStr">
        <is>
          <t>Los Angeles, CA</t>
        </is>
      </c>
      <c r="D8" s="4" t="n">
        <v>113470</v>
      </c>
      <c r="E8" s="5" t="n">
        <v>3.85</v>
      </c>
      <c r="F8" s="6" t="n">
        <v>517</v>
      </c>
      <c r="G8" s="7" t="inlineStr">
        <is>
          <t>Reach</t>
        </is>
      </c>
      <c r="H8" s="3" t="inlineStr">
        <is>
          <t>Private</t>
        </is>
      </c>
      <c r="I8" s="3" t="inlineStr">
        <is>
          <t>https://keck.usc.edu/md-program/class-profile/</t>
        </is>
      </c>
      <c r="J8" s="3" t="inlineStr">
        <is>
          <t>https://financialaid.usc.edu/graduate-professional-financial-aid/health-sciences-campus/the-cost-of-your-medical-school-education/</t>
        </is>
      </c>
      <c r="K8" s="3" t="inlineStr">
        <is>
          <t>Los Angeles academic-medicine option with strong research resources and diverse-community care exposure.</t>
        </is>
      </c>
      <c r="L8" s="3" t="inlineStr">
        <is>
          <t>Ignite discovery through education, research, and patient care to optimize health for diverse communities.</t>
        </is>
      </c>
    </row>
    <row r="9" ht="48" customHeight="1" s="15">
      <c r="A9" s="3" t="inlineStr">
        <is>
          <t>University of Rochester School of Medicine and Dentistry</t>
        </is>
      </c>
      <c r="B9" s="3" t="inlineStr">
        <is>
          <t>MD</t>
        </is>
      </c>
      <c r="C9" s="3" t="inlineStr">
        <is>
          <t>Rochester, NY</t>
        </is>
      </c>
      <c r="D9" s="4" t="n">
        <v>102188</v>
      </c>
      <c r="E9" s="5" t="n">
        <v>3.6</v>
      </c>
      <c r="F9" s="6" t="n">
        <v>516</v>
      </c>
      <c r="G9" s="7" t="inlineStr">
        <is>
          <t>Target</t>
        </is>
      </c>
      <c r="H9" s="3" t="inlineStr">
        <is>
          <t>Private</t>
        </is>
      </c>
      <c r="I9" s="3" t="inlineStr">
        <is>
          <t>https://www.collegetuitioncompare.com/medical-schools/university-of-rochester-school-of-medicine-and-dentistry/</t>
        </is>
      </c>
      <c r="J9" s="3" t="inlineStr">
        <is>
          <t>https://www.medcmp.com/university-of-rochester-school-of-medicine-and-dentistry/cost-of-attendance/</t>
        </is>
      </c>
      <c r="K9" s="3" t="inlineStr">
        <is>
          <t>Biopsychosocial and reflective training model fits hospice work, mentoring, and thoughtful service.</t>
        </is>
      </c>
      <c r="L9" s="3" t="inlineStr">
        <is>
          <t>Improve the health of individuals and populations through innovative medical education grounded in humility and personal growth.</t>
        </is>
      </c>
    </row>
    <row r="10" ht="48" customHeight="1" s="15">
      <c r="A10" s="3" t="inlineStr">
        <is>
          <t>University of Colorado School of Medicine</t>
        </is>
      </c>
      <c r="B10" s="3" t="inlineStr">
        <is>
          <t>MD</t>
        </is>
      </c>
      <c r="C10" s="3" t="inlineStr">
        <is>
          <t>Aurora, CO</t>
        </is>
      </c>
      <c r="D10" s="4" t="n">
        <v>109434</v>
      </c>
      <c r="E10" s="5" t="n">
        <v>3.78</v>
      </c>
      <c r="F10" s="6" t="n">
        <v>517</v>
      </c>
      <c r="G10" s="7" t="inlineStr">
        <is>
          <t>Target</t>
        </is>
      </c>
      <c r="H10" s="3" t="inlineStr">
        <is>
          <t>Public (OOS COA)</t>
        </is>
      </c>
      <c r="I10" s="3" t="inlineStr">
        <is>
          <t>https://www.medcmp.com/university-of-colorado-school-of-medicine/acceptance-rate-and-mcat-scores/</t>
        </is>
      </c>
      <c r="J10" s="3" t="inlineStr">
        <is>
          <t>https://www.medcmp.com/university-of-colorado-school-of-medicine/cost-of-attendance/</t>
        </is>
      </c>
      <c r="K10" s="3" t="inlineStr">
        <is>
          <t>Balanced science-plus-service mission fits your microbiology research, teaching, and community engagement.</t>
        </is>
      </c>
      <c r="L10" s="3" t="inlineStr">
        <is>
          <t>Deliver excellence in education, research, clinical care, and community collaboration to advance health equity.</t>
        </is>
      </c>
    </row>
    <row r="11" ht="48" customHeight="1" s="15">
      <c r="A11" s="3" t="inlineStr">
        <is>
          <t>Lewis Katz School of Medicine at Temple University</t>
        </is>
      </c>
      <c r="B11" s="3" t="inlineStr">
        <is>
          <t>MD</t>
        </is>
      </c>
      <c r="C11" s="3" t="inlineStr">
        <is>
          <t>Philadelphia, PA</t>
        </is>
      </c>
      <c r="D11" s="4" t="n">
        <v>62868</v>
      </c>
      <c r="E11" s="5" t="n">
        <v>3.79</v>
      </c>
      <c r="F11" s="6" t="n">
        <v>512</v>
      </c>
      <c r="G11" s="7" t="inlineStr">
        <is>
          <t>Safety</t>
        </is>
      </c>
      <c r="H11" s="3" t="inlineStr">
        <is>
          <t>Public (OOS COA)</t>
        </is>
      </c>
      <c r="I11" s="3" t="inlineStr">
        <is>
          <t>https://www.medcmp.com/lewis-katz-school-of-medicine-temple-university/</t>
        </is>
      </c>
      <c r="J11" s="3" t="inlineStr">
        <is>
          <t>https://www.medcmp.com/lewis-katz-school-of-medicine-temple-university/cost-of-attendance/</t>
        </is>
      </c>
      <c r="K11" s="3" t="inlineStr">
        <is>
          <t>One of the cleanest mission fits for your urban-service, hospice, and restorative justice experiences.</t>
        </is>
      </c>
      <c r="L11" s="3" t="inlineStr">
        <is>
          <t>Align with diverse communities to advance medicine and improve health through education, research, and training.</t>
        </is>
      </c>
    </row>
    <row r="12" ht="32" customHeight="1" s="15">
      <c r="A12" s="3" t="inlineStr">
        <is>
          <t>Emory University School of Medicine</t>
        </is>
      </c>
      <c r="B12" s="3" t="inlineStr">
        <is>
          <t>MD</t>
        </is>
      </c>
      <c r="C12" s="3" t="inlineStr">
        <is>
          <t>Atlanta, GA</t>
        </is>
      </c>
      <c r="D12" s="4" t="n">
        <v>102652</v>
      </c>
      <c r="E12" s="5" t="n">
        <v>3.81</v>
      </c>
      <c r="F12" s="6" t="n">
        <v>515</v>
      </c>
      <c r="G12" s="7" t="inlineStr">
        <is>
          <t>Target</t>
        </is>
      </c>
      <c r="H12" s="3" t="inlineStr">
        <is>
          <t>Private</t>
        </is>
      </c>
      <c r="I12" s="3" t="inlineStr">
        <is>
          <t>https://www.collegetuitioncompare.com/medical-schools/emory-university-school-of-medicine/</t>
        </is>
      </c>
      <c r="J12" s="3" t="inlineStr">
        <is>
          <t>https://www.medcmp.com/emory-university-school-of-medicine/cost-of-attendance/</t>
        </is>
      </c>
      <c r="K12" s="3" t="inlineStr">
        <is>
          <t>Research-forward but still service-conscious; your poster output and community work both help here.</t>
        </is>
      </c>
      <c r="L12" s="3" t="inlineStr">
        <is>
          <t>Pursue the highest standards in education, biomedical research, and patient care while preparing leaders to serve diverse communities.</t>
        </is>
      </c>
    </row>
    <row r="13" ht="48" customHeight="1" s="15">
      <c r="A13" s="3" t="inlineStr">
        <is>
          <t>University of Cincinnati College of Medicine</t>
        </is>
      </c>
      <c r="B13" s="3" t="inlineStr">
        <is>
          <t>MD</t>
        </is>
      </c>
      <c r="C13" s="3" t="inlineStr">
        <is>
          <t>Cincinnati, OH</t>
        </is>
      </c>
      <c r="D13" s="4" t="n">
        <v>76126</v>
      </c>
      <c r="E13" s="5" t="n">
        <v>3.81</v>
      </c>
      <c r="F13" s="6" t="n">
        <v>514</v>
      </c>
      <c r="G13" s="7" t="inlineStr">
        <is>
          <t>Safety</t>
        </is>
      </c>
      <c r="H13" s="3" t="inlineStr">
        <is>
          <t>Public (OOS COA)</t>
        </is>
      </c>
      <c r="I13" s="3" t="inlineStr">
        <is>
          <t>https://www.medcmp.com/university-of-cincinnati-college-of-medicine/</t>
        </is>
      </c>
      <c r="J13" s="3" t="inlineStr">
        <is>
          <t>https://www.medcmp.com/university-of-cincinnati-college-of-medicine/cost-of-attendance/</t>
        </is>
      </c>
      <c r="K13" s="3" t="inlineStr">
        <is>
          <t>Nice balance of attainable stats, collaborative culture, and room for your research plus clinical support background.</t>
        </is>
      </c>
      <c r="L13" s="3" t="inlineStr">
        <is>
          <t>Educate and train future physicians, advance knowledge through innovative research, and improve health through compassionate patient-centered care.</t>
        </is>
      </c>
    </row>
    <row r="14" ht="48" customHeight="1" s="15">
      <c r="A14" s="3" t="inlineStr">
        <is>
          <t>Geisel School of Medicine at Dartmouth</t>
        </is>
      </c>
      <c r="B14" s="3" t="inlineStr">
        <is>
          <t>MD</t>
        </is>
      </c>
      <c r="C14" s="3" t="inlineStr">
        <is>
          <t>Hanover, NH</t>
        </is>
      </c>
      <c r="D14" s="4" t="n">
        <v>96448</v>
      </c>
      <c r="E14" s="5" t="n">
        <v>3.82</v>
      </c>
      <c r="F14" s="6" t="n">
        <v>516</v>
      </c>
      <c r="G14" s="7" t="inlineStr">
        <is>
          <t>Target</t>
        </is>
      </c>
      <c r="H14" s="3" t="inlineStr">
        <is>
          <t>Private</t>
        </is>
      </c>
      <c r="I14" s="3" t="inlineStr">
        <is>
          <t>https://www.collegetuitioncompare.com/medical-schools/dartmouth-college-geisel-school-of-medicine/</t>
        </is>
      </c>
      <c r="J14" s="3" t="inlineStr">
        <is>
          <t>https://www.medcmp.com/dartmouth-college-geisel-school-of-medicine/cost-of-attendance/</t>
        </is>
      </c>
      <c r="K14" s="3" t="inlineStr">
        <is>
          <t>Good fit for research curiosity paired with systems-level service and equity interests.</t>
        </is>
      </c>
      <c r="L14" s="3" t="inlineStr">
        <is>
          <t>Address the world's health problems through research, health-system improvement, and education of future physicians and scientists.</t>
        </is>
      </c>
    </row>
    <row r="15" ht="48" customHeight="1" s="15">
      <c r="A15" s="3" t="inlineStr">
        <is>
          <t>Tufts University School of Medicine</t>
        </is>
      </c>
      <c r="B15" s="3" t="inlineStr">
        <is>
          <t>MD</t>
        </is>
      </c>
      <c r="C15" s="3" t="inlineStr">
        <is>
          <t>Boston, MA</t>
        </is>
      </c>
      <c r="D15" s="4" t="n">
        <v>105858</v>
      </c>
      <c r="E15" s="5" t="n">
        <v>3.82</v>
      </c>
      <c r="F15" s="6" t="n">
        <v>514</v>
      </c>
      <c r="G15" s="7" t="inlineStr">
        <is>
          <t>Target</t>
        </is>
      </c>
      <c r="H15" s="3" t="inlineStr">
        <is>
          <t>Private</t>
        </is>
      </c>
      <c r="I15" s="3" t="inlineStr">
        <is>
          <t>https://www.medcmp.com/tufts-university-school-of-medicine/</t>
        </is>
      </c>
      <c r="J15" s="3" t="inlineStr">
        <is>
          <t>https://www.medcmp.com/tufts-university-school-of-medicine/cost-of-attendance/</t>
        </is>
      </c>
      <c r="K15" s="3" t="inlineStr">
        <is>
          <t>Humanistic and community-oriented mission fits your teaching experience and long-term service commitments.</t>
        </is>
      </c>
      <c r="L15" s="3" t="inlineStr">
        <is>
          <t>Improve the health and well-being of communities through education, advancing knowledge, and compassionate patient care.</t>
        </is>
      </c>
    </row>
    <row r="16" ht="48" customHeight="1" s="15">
      <c r="A16" s="3" t="inlineStr">
        <is>
          <t>The Ohio State University College of Medicine</t>
        </is>
      </c>
      <c r="B16" s="3" t="inlineStr">
        <is>
          <t>MD</t>
        </is>
      </c>
      <c r="C16" s="3" t="inlineStr">
        <is>
          <t>Columbus, OH</t>
        </is>
      </c>
      <c r="D16" s="4" t="n">
        <v>80647</v>
      </c>
      <c r="E16" s="5" t="n">
        <v>3.83</v>
      </c>
      <c r="F16" s="6" t="n">
        <v>514</v>
      </c>
      <c r="G16" s="7" t="inlineStr">
        <is>
          <t>Target</t>
        </is>
      </c>
      <c r="H16" s="3" t="inlineStr">
        <is>
          <t>Public (OOS COA)</t>
        </is>
      </c>
      <c r="I16" s="3" t="inlineStr">
        <is>
          <t>https://www.medcmp.com/the-ohio-state-university-college-of-medicine/</t>
        </is>
      </c>
      <c r="J16" s="3" t="inlineStr">
        <is>
          <t>https://www.medcmp.com/the-ohio-state-university-college-of-medicine/</t>
        </is>
      </c>
      <c r="K16" s="3" t="inlineStr">
        <is>
          <t>Inclusive academic-medicine environment that matches your leadership, research, and patient-centered service profile.</t>
        </is>
      </c>
      <c r="L16" s="3" t="inlineStr">
        <is>
          <t>Transform the health of communities through inclusive and innovative education, discovery, and care.</t>
        </is>
      </c>
    </row>
    <row r="17" ht="48" customHeight="1" s="15">
      <c r="A17" s="3" t="inlineStr">
        <is>
          <t>Boston University Chobanian &amp; Avedisian School of Medicine</t>
        </is>
      </c>
      <c r="B17" s="3" t="inlineStr">
        <is>
          <t>MD</t>
        </is>
      </c>
      <c r="C17" s="3" t="inlineStr">
        <is>
          <t>Boston, MA</t>
        </is>
      </c>
      <c r="D17" s="4" t="n">
        <v>97140</v>
      </c>
      <c r="E17" s="5" t="n">
        <v>3.84</v>
      </c>
      <c r="F17" s="6" t="n">
        <v>517</v>
      </c>
      <c r="G17" s="7" t="inlineStr">
        <is>
          <t>Reach</t>
        </is>
      </c>
      <c r="H17" s="3" t="inlineStr">
        <is>
          <t>Private</t>
        </is>
      </c>
      <c r="I17" s="3" t="inlineStr">
        <is>
          <t>https://www.collegetuitioncompare.com/medical-schools/boston-university-school-of-medicine/</t>
        </is>
      </c>
      <c r="J17" s="3" t="inlineStr">
        <is>
          <t>https://www.medcmp.com/boston-university-school-of-medicine/cost-of-attendance/</t>
        </is>
      </c>
      <c r="K17" s="3" t="inlineStr">
        <is>
          <t>Urban mission and social-justice emphasis fit well, but the stats keep this in the reach tier.</t>
        </is>
      </c>
      <c r="L17" s="3" t="inlineStr">
        <is>
          <t>Cultivate learners from varied backgrounds committed to innovation, medicine, research, and the well-being of all communities.</t>
        </is>
      </c>
    </row>
    <row r="18" ht="48" customHeight="1" s="15">
      <c r="A18" s="3" t="inlineStr">
        <is>
          <t>Virginia Tech Carilion School of Medicine</t>
        </is>
      </c>
      <c r="B18" s="3" t="inlineStr">
        <is>
          <t>MD</t>
        </is>
      </c>
      <c r="C18" s="3" t="inlineStr">
        <is>
          <t>Roanoke, VA</t>
        </is>
      </c>
      <c r="D18" s="4" t="n">
        <v>87233</v>
      </c>
      <c r="E18" s="5" t="n">
        <v>3.67</v>
      </c>
      <c r="F18" s="6" t="n">
        <v>512</v>
      </c>
      <c r="G18" s="7" t="inlineStr">
        <is>
          <t>Safety</t>
        </is>
      </c>
      <c r="H18" s="3" t="inlineStr">
        <is>
          <t>Public (same tuition in/out of state)</t>
        </is>
      </c>
      <c r="I18" s="3" t="inlineStr">
        <is>
          <t>https://www.medcmp.com/virginia-tech-carilion-school-of-medicine-and-research-institute/</t>
        </is>
      </c>
      <c r="J18" s="3" t="inlineStr">
        <is>
          <t>https://www.medcmp.com/virginia-tech-carilion-school-of-medicine-and-research-institute/cost-of-attendance/</t>
        </is>
      </c>
      <c r="K18" s="3" t="inlineStr">
        <is>
          <t>Great match for your research output, poster activity, and leadership narrative.</t>
        </is>
      </c>
      <c r="L18" s="3" t="inlineStr">
        <is>
          <t>Prepare physician thought leaders through innovations in medical education and cutting-edge discovery to improve community health.</t>
        </is>
      </c>
    </row>
    <row r="19" ht="32" customHeight="1" s="15">
      <c r="A19" s="3" t="inlineStr">
        <is>
          <t>University of Virginia School of Medicine</t>
        </is>
      </c>
      <c r="B19" s="3" t="inlineStr">
        <is>
          <t>MD</t>
        </is>
      </c>
      <c r="C19" s="3" t="inlineStr">
        <is>
          <t>Charlottesville, VA</t>
        </is>
      </c>
      <c r="D19" s="4" t="n">
        <v>94866</v>
      </c>
      <c r="E19" s="5" t="n">
        <v>3.85</v>
      </c>
      <c r="F19" s="6" t="n">
        <v>518</v>
      </c>
      <c r="G19" s="7" t="inlineStr">
        <is>
          <t>Reach</t>
        </is>
      </c>
      <c r="H19" s="3" t="inlineStr">
        <is>
          <t>Public (OOS COA)</t>
        </is>
      </c>
      <c r="I19" s="3" t="inlineStr">
        <is>
          <t>https://www.medcmp.com/university-of-virginia-school-of-medicine/</t>
        </is>
      </c>
      <c r="J19" s="3" t="inlineStr">
        <is>
          <t>https://www.medcmp.com/university-of-virginia-school-of-medicine/</t>
        </is>
      </c>
      <c r="K19" s="3" t="inlineStr">
        <is>
          <t>Still a reach, but your service record and conference-backed research make the fit coherent.</t>
        </is>
      </c>
      <c r="L19" s="3" t="inlineStr">
        <is>
          <t>Transform health and inspire hope through research, education, patient care, and community partnership.</t>
        </is>
      </c>
    </row>
    <row r="20" ht="32" customHeight="1" s="15">
      <c r="A20" s="3" t="inlineStr">
        <is>
          <t>Vermont Larner College of Medicine</t>
        </is>
      </c>
      <c r="B20" s="3" t="inlineStr">
        <is>
          <t>MD</t>
        </is>
      </c>
      <c r="C20" s="3" t="inlineStr">
        <is>
          <t>Burlington, VT</t>
        </is>
      </c>
      <c r="D20" s="4" t="n">
        <v>100036</v>
      </c>
      <c r="E20" s="5" t="n">
        <v>3.75</v>
      </c>
      <c r="F20" s="6" t="n">
        <v>512</v>
      </c>
      <c r="G20" s="7" t="inlineStr">
        <is>
          <t>Target</t>
        </is>
      </c>
      <c r="H20" s="3" t="inlineStr">
        <is>
          <t>Public (out-of-state COA)</t>
        </is>
      </c>
      <c r="I20" s="3" t="inlineStr">
        <is>
          <t>https://www.medcmp.com/university-of-vermont-college-of-medicine/acceptance-rate-and-mcat-scores/</t>
        </is>
      </c>
      <c r="J20" s="3" t="inlineStr">
        <is>
          <t>https://www.medcmp.com/university-of-vermont-college-of-medicine/cost-of-attendance/</t>
        </is>
      </c>
      <c r="K20" s="3" t="inlineStr">
        <is>
          <t>Supportive, humanistic training environment with strong service and professionalism overlap for your profile.</t>
        </is>
      </c>
      <c r="L20" s="3" t="inlineStr">
        <is>
          <t>Educate skilled physicians and scientists who improve health through patient-centered care, scholarship, and service.</t>
        </is>
      </c>
    </row>
    <row r="21" ht="48" customHeight="1" s="15">
      <c r="A21" s="3" t="inlineStr">
        <is>
          <t>University of Wisconsin School of Medicine and Public Health</t>
        </is>
      </c>
      <c r="B21" s="3" t="inlineStr">
        <is>
          <t>MD</t>
        </is>
      </c>
      <c r="C21" s="3" t="inlineStr">
        <is>
          <t>Madison, WI</t>
        </is>
      </c>
      <c r="D21" s="4" t="n">
        <v>94424</v>
      </c>
      <c r="E21" s="5" t="n">
        <v>3.78</v>
      </c>
      <c r="F21" s="6" t="n">
        <v>511</v>
      </c>
      <c r="G21" s="7" t="inlineStr">
        <is>
          <t>Target</t>
        </is>
      </c>
      <c r="H21" s="3" t="inlineStr">
        <is>
          <t>Public (out-of-state COA)</t>
        </is>
      </c>
      <c r="I21" s="3" t="inlineStr">
        <is>
          <t>https://www.medcmp.com/university-of-wisconsin-school-of-medicine-and-public-health/acceptance-rate-and-mcat-scores/</t>
        </is>
      </c>
      <c r="J21" s="3" t="inlineStr">
        <is>
          <t>https://www.medcmp.com/university-of-wisconsin-school-of-medicine-and-public-health/cost-of-attendance/</t>
        </is>
      </c>
      <c r="K21" s="3" t="inlineStr">
        <is>
          <t>Public-health and social-responsibility framing fits your community work better than a pure lab-heavy school would.</t>
        </is>
      </c>
      <c r="L21" s="3" t="inlineStr">
        <is>
          <t>Advance health without compromise through service, scholarship, science, and social responsibility.</t>
        </is>
      </c>
    </row>
    <row r="22" ht="48" customHeight="1" s="15">
      <c r="A22" s="3" t="inlineStr">
        <is>
          <t>Medical College of Wisconsin</t>
        </is>
      </c>
      <c r="B22" s="3" t="inlineStr">
        <is>
          <t>MD</t>
        </is>
      </c>
      <c r="C22" s="3" t="inlineStr">
        <is>
          <t>Milwaukee, WI</t>
        </is>
      </c>
      <c r="D22" s="4" t="n">
        <v>101344</v>
      </c>
      <c r="E22" s="5" t="n">
        <v>3.8</v>
      </c>
      <c r="F22" s="6" t="n">
        <v>510</v>
      </c>
      <c r="G22" s="7" t="inlineStr">
        <is>
          <t>Target</t>
        </is>
      </c>
      <c r="H22" s="3" t="inlineStr">
        <is>
          <t>Private</t>
        </is>
      </c>
      <c r="I22" s="3" t="inlineStr">
        <is>
          <t>https://www.medcmp.com/medical-college-of-wisconsin/acceptance-rate-and-mcat-scores/</t>
        </is>
      </c>
      <c r="J22" s="3" t="inlineStr">
        <is>
          <t>https://www.medcmp.com/medical-college-of-wisconsin/cost-of-attendance/</t>
        </is>
      </c>
      <c r="K22" s="3" t="inlineStr">
        <is>
          <t>Strong match for research plus community engagement, without demanding ultra-reach stats.</t>
        </is>
      </c>
      <c r="L22" s="3" t="inlineStr">
        <is>
          <t>Build a healthier world through discovery, patient care, community engagement, and the education of tomorrow's healers.</t>
        </is>
      </c>
    </row>
    <row r="23" ht="32" customHeight="1" s="15">
      <c r="A23" s="3" t="inlineStr">
        <is>
          <t>Sidney Kimmel Medical College at Thomas Jefferson University</t>
        </is>
      </c>
      <c r="B23" s="3" t="inlineStr">
        <is>
          <t>MD</t>
        </is>
      </c>
      <c r="C23" s="3" t="inlineStr">
        <is>
          <t>Philadelphia, PA</t>
        </is>
      </c>
      <c r="D23" s="4" t="n">
        <v>90759</v>
      </c>
      <c r="E23" s="5" t="n">
        <v>3.8</v>
      </c>
      <c r="F23" s="6" t="n">
        <v>513</v>
      </c>
      <c r="G23" s="7" t="inlineStr">
        <is>
          <t>Target</t>
        </is>
      </c>
      <c r="H23" s="3" t="inlineStr">
        <is>
          <t>Private</t>
        </is>
      </c>
      <c r="I23" s="3" t="inlineStr">
        <is>
          <t>https://www.medcmp.com/sidney-kimmel-medical-college-at-thomas-jefferson-university/acceptance-rate-and-mcat-scores/</t>
        </is>
      </c>
      <c r="J23" s="3" t="inlineStr">
        <is>
          <t>https://www.medcmp.com/sidney-kimmel-medical-college-at-thomas-jefferson-university/cost-of-attendance/</t>
        </is>
      </c>
      <c r="K23" s="3" t="inlineStr">
        <is>
          <t>Urban patient population, inclusive values, and strong clinical training make this a sensible fit school.</t>
        </is>
      </c>
      <c r="L23" s="3" t="inlineStr">
        <is>
          <t>Improve lives through compassionate care, innovation, education, and service to diverse communities.</t>
        </is>
      </c>
    </row>
    <row r="24" ht="64" customHeight="1" s="15">
      <c r="A24" s="3" t="inlineStr">
        <is>
          <t>University of Iowa Roy J. and Lucille A. Carver College of Medicine</t>
        </is>
      </c>
      <c r="B24" s="3" t="inlineStr">
        <is>
          <t>MD</t>
        </is>
      </c>
      <c r="C24" s="3" t="inlineStr">
        <is>
          <t>Iowa City, IA</t>
        </is>
      </c>
      <c r="D24" s="4" t="n">
        <v>92614</v>
      </c>
      <c r="E24" s="5" t="n">
        <v>3.81</v>
      </c>
      <c r="F24" s="6" t="n">
        <v>514</v>
      </c>
      <c r="G24" s="7" t="inlineStr">
        <is>
          <t>Target</t>
        </is>
      </c>
      <c r="H24" s="3" t="inlineStr">
        <is>
          <t>Public (out-of-state COA)</t>
        </is>
      </c>
      <c r="I24" s="3" t="inlineStr">
        <is>
          <t>https://www.medcmp.com/university-of-iowa-roy-j-and-lucille-a-carver-college-of-medicine/acceptance-rate-and-mcat-scores/</t>
        </is>
      </c>
      <c r="J24" s="3" t="inlineStr">
        <is>
          <t>https://www.medcmp.com/university-of-iowa-roy-j-and-lucille-a-carver-college-of-medicine/cost-of-attendance/</t>
        </is>
      </c>
      <c r="K24" s="3" t="inlineStr">
        <is>
          <t>Case-based, research-capable program with enough service orientation to fit your broader application story.</t>
        </is>
      </c>
      <c r="L24" s="3" t="inlineStr">
        <is>
          <t>Inspire and educate world-class health care providers and scientists for Iowa and the global community.</t>
        </is>
      </c>
    </row>
    <row r="25" ht="48" customHeight="1" s="15">
      <c r="A25" s="3" t="inlineStr">
        <is>
          <t>Western Michigan University Homer Stryker M.D. School of Medicine</t>
        </is>
      </c>
      <c r="B25" s="3" t="inlineStr">
        <is>
          <t>MD</t>
        </is>
      </c>
      <c r="C25" s="3" t="inlineStr">
        <is>
          <t>Kalamazoo, MI</t>
        </is>
      </c>
      <c r="D25" s="4" t="n">
        <v>100715</v>
      </c>
      <c r="E25" s="5" t="n">
        <v>3.81</v>
      </c>
      <c r="F25" s="6" t="n">
        <v>512</v>
      </c>
      <c r="G25" s="7" t="inlineStr">
        <is>
          <t>Target</t>
        </is>
      </c>
      <c r="H25" s="3" t="inlineStr">
        <is>
          <t>Private</t>
        </is>
      </c>
      <c r="I25" s="3" t="inlineStr">
        <is>
          <t>https://www.medcmp.com/western-michigan-university-homer-stryker-md-school-of-medicine/acceptance-rate-and-mcat-scores/</t>
        </is>
      </c>
      <c r="J25" s="3" t="inlineStr">
        <is>
          <t>https://www.medcmp.com/western-michigan-university-homer-stryker-md-school-of-medicine/cost-of-attendance/</t>
        </is>
      </c>
      <c r="K25" s="3" t="inlineStr">
        <is>
          <t>Patient-centered training plus research space makes this a balanced fit for your profile.</t>
        </is>
      </c>
      <c r="L25" s="3" t="inlineStr">
        <is>
          <t>Develop exceptional and compassionate physicians through patient-centered, discovery-driven medical education.</t>
        </is>
      </c>
    </row>
    <row r="26" ht="32" customHeight="1" s="15">
      <c r="A26" s="3" t="inlineStr">
        <is>
          <t>University of Miami Leonard M. Miller School of Medicine</t>
        </is>
      </c>
      <c r="B26" s="3" t="inlineStr">
        <is>
          <t>MD</t>
        </is>
      </c>
      <c r="C26" s="3" t="inlineStr">
        <is>
          <t>Miami, FL</t>
        </is>
      </c>
      <c r="D26" s="4" t="n">
        <v>106785</v>
      </c>
      <c r="E26" s="5" t="n">
        <v>3.85</v>
      </c>
      <c r="F26" s="6" t="n">
        <v>516</v>
      </c>
      <c r="G26" s="7" t="inlineStr">
        <is>
          <t>Reach</t>
        </is>
      </c>
      <c r="H26" s="3" t="inlineStr">
        <is>
          <t>Private</t>
        </is>
      </c>
      <c r="I26" s="3" t="inlineStr">
        <is>
          <t>https://www.medcmp.com/university-of-miami-leonard-m-miller-school-of-medicine/acceptance-rate-and-mcat-scores/</t>
        </is>
      </c>
      <c r="J26" s="3" t="inlineStr">
        <is>
          <t>https://www.medcmp.com/university-of-miami-leonard-m-miller-school-of-medicine/cost-of-attendance/</t>
        </is>
      </c>
      <c r="K26" s="3" t="inlineStr">
        <is>
          <t>Diverse-community focus helps, but the academic bar is still high enough to keep it as a reach.</t>
        </is>
      </c>
      <c r="L26" s="3" t="inlineStr">
        <is>
          <t>Advance medical education, discovery, compassionate care, and community health across diverse populations.</t>
        </is>
      </c>
    </row>
    <row r="27" ht="32" customHeight="1" s="15">
      <c r="A27" s="3" t="inlineStr">
        <is>
          <t>Wake Forest University School of Medicine</t>
        </is>
      </c>
      <c r="B27" s="3" t="inlineStr">
        <is>
          <t>MD</t>
        </is>
      </c>
      <c r="C27" s="3" t="inlineStr">
        <is>
          <t>Winston-Salem, NC</t>
        </is>
      </c>
      <c r="D27" s="4" t="n">
        <v>99067</v>
      </c>
      <c r="E27" s="5" t="n">
        <v>3.85</v>
      </c>
      <c r="F27" s="6" t="n">
        <v>512</v>
      </c>
      <c r="G27" s="7" t="inlineStr">
        <is>
          <t>Target</t>
        </is>
      </c>
      <c r="H27" s="3" t="inlineStr">
        <is>
          <t>Private</t>
        </is>
      </c>
      <c r="I27" s="3" t="inlineStr">
        <is>
          <t>https://www.medcmp.com/wake-forest-school-of-medicine/acceptance-rate-and-mcat-scores/</t>
        </is>
      </c>
      <c r="J27" s="3" t="inlineStr">
        <is>
          <t>https://www.medcmp.com/wake-forest-school-of-medicine/cost-of-attendance/</t>
        </is>
      </c>
      <c r="K27" s="3" t="inlineStr">
        <is>
          <t>Research and service both matter here, which helps your posters feel connected to patient-facing work.</t>
        </is>
      </c>
      <c r="L27" s="3" t="inlineStr">
        <is>
          <t>Generate and translate knowledge to improve health through research, learning, and compassionate care.</t>
        </is>
      </c>
    </row>
    <row r="28" ht="48" customHeight="1" s="15">
      <c r="A28" s="3" t="inlineStr">
        <is>
          <t>Albany Medical College</t>
        </is>
      </c>
      <c r="B28" s="3" t="inlineStr">
        <is>
          <t>MD</t>
        </is>
      </c>
      <c r="C28" s="3" t="inlineStr">
        <is>
          <t>Albany, NY</t>
        </is>
      </c>
      <c r="D28" s="4" t="n">
        <v>85749</v>
      </c>
      <c r="E28" s="5" t="n">
        <v>3.8</v>
      </c>
      <c r="F28" s="6" t="n">
        <v>510</v>
      </c>
      <c r="G28" s="7" t="inlineStr">
        <is>
          <t>Safety</t>
        </is>
      </c>
      <c r="H28" s="3" t="inlineStr">
        <is>
          <t>Private</t>
        </is>
      </c>
      <c r="I28" s="3" t="inlineStr">
        <is>
          <t>https://www.medcmp.com/albany-medical-college/acceptance-rate-and-mcat-scores/</t>
        </is>
      </c>
      <c r="J28" s="3" t="inlineStr">
        <is>
          <t>https://www.medcmp.com/albany-medical-college/cost-of-attendance/</t>
        </is>
      </c>
      <c r="K28" s="3" t="inlineStr">
        <is>
          <t>Smaller, humane, clinically grounded environment that still values science and service.</t>
        </is>
      </c>
      <c r="L28" s="3" t="inlineStr">
        <is>
          <t>Improve health through biomedical science, patient-centered medicine, and service to communities.</t>
        </is>
      </c>
    </row>
    <row r="29" ht="32" customHeight="1" s="15">
      <c r="A29" s="3" t="inlineStr">
        <is>
          <t>Drexel University College of Medicine</t>
        </is>
      </c>
      <c r="B29" s="3" t="inlineStr">
        <is>
          <t>MD</t>
        </is>
      </c>
      <c r="C29" s="3" t="inlineStr">
        <is>
          <t>Philadelphia, PA</t>
        </is>
      </c>
      <c r="D29" s="4" t="n">
        <v>106067</v>
      </c>
      <c r="E29" s="5" t="n">
        <v>3.76</v>
      </c>
      <c r="F29" s="6" t="n">
        <v>512</v>
      </c>
      <c r="G29" s="7" t="inlineStr">
        <is>
          <t>Safety</t>
        </is>
      </c>
      <c r="H29" s="3" t="inlineStr">
        <is>
          <t>Private</t>
        </is>
      </c>
      <c r="I29" s="3" t="inlineStr">
        <is>
          <t>https://www.medcmp.com/drexel-university-college-of-medicine/acceptance-rate-and-mcat-scores/</t>
        </is>
      </c>
      <c r="J29" s="3" t="inlineStr">
        <is>
          <t>https://www.medcmp.com/drexel-university-college-of-medicine/cost-of-attendance/</t>
        </is>
      </c>
      <c r="K29" s="3" t="inlineStr">
        <is>
          <t>The blend of opportunity, inclusion, and service makes this one of the better mission fits on the list.</t>
        </is>
      </c>
      <c r="L29" s="3" t="inlineStr">
        <is>
          <t>Educate a diverse physician workforce committed to innovation, humanism, and community health.</t>
        </is>
      </c>
    </row>
    <row r="30" ht="32" customHeight="1" s="15">
      <c r="A30" s="3" t="inlineStr">
        <is>
          <t>Wayne State University School of Medicine</t>
        </is>
      </c>
      <c r="B30" s="3" t="inlineStr">
        <is>
          <t>MD</t>
        </is>
      </c>
      <c r="C30" s="3" t="inlineStr">
        <is>
          <t>Detroit, MI</t>
        </is>
      </c>
      <c r="D30" s="4" t="n">
        <v>101999</v>
      </c>
      <c r="E30" s="5" t="n">
        <v>3.78</v>
      </c>
      <c r="F30" s="6" t="n">
        <v>511</v>
      </c>
      <c r="G30" s="7" t="inlineStr">
        <is>
          <t>Safety</t>
        </is>
      </c>
      <c r="H30" s="3" t="inlineStr">
        <is>
          <t>Public (out-of-state COA)</t>
        </is>
      </c>
      <c r="I30" s="3" t="inlineStr">
        <is>
          <t>https://www.medcmp.com/wayne-state-university-school-of-medicine/acceptance-rate-and-mcat-scores/</t>
        </is>
      </c>
      <c r="J30" s="3" t="inlineStr">
        <is>
          <t>https://www.medcmp.com/wayne-state-university-school-of-medicine/cost-of-attendance/</t>
        </is>
      </c>
      <c r="K30" s="3" t="inlineStr">
        <is>
          <t>Urban mission, inclusion focus, and community investment match your justice-oriented service especially well.</t>
        </is>
      </c>
      <c r="L30" s="3" t="inlineStr">
        <is>
          <t>Educate a diverse student body in an urban setting and culture of inclusion to prepare leaders who achieve health and wellness for society.</t>
        </is>
      </c>
    </row>
    <row r="31" ht="48" customHeight="1" s="15">
      <c r="A31" s="3" t="inlineStr">
        <is>
          <t>Loyola University Chicago Stritch School of Medicine</t>
        </is>
      </c>
      <c r="B31" s="3" t="inlineStr">
        <is>
          <t>MD</t>
        </is>
      </c>
      <c r="C31" s="3" t="inlineStr">
        <is>
          <t>Maywood, IL</t>
        </is>
      </c>
      <c r="D31" s="4" t="n">
        <v>70998</v>
      </c>
      <c r="E31" s="5" t="n">
        <v>3.8</v>
      </c>
      <c r="F31" s="6" t="n">
        <v>512</v>
      </c>
      <c r="G31" s="7" t="inlineStr">
        <is>
          <t>Target</t>
        </is>
      </c>
      <c r="H31" s="3" t="inlineStr">
        <is>
          <t>Private (medcmp listed total matches tuition; verify full school budget)</t>
        </is>
      </c>
      <c r="I31" s="3" t="inlineStr">
        <is>
          <t>https://www.medcmp.com/loyola-university-chicago-stritch-school-of-medicine/acceptance-rate-and-mcat-scores/</t>
        </is>
      </c>
      <c r="J31" s="3" t="inlineStr">
        <is>
          <t>https://www.medcmp.com/loyola-university-chicago-stritch-school-of-medicine/cost-of-attendance/</t>
        </is>
      </c>
      <c r="K31" s="3" t="inlineStr">
        <is>
          <t>Whole-person care, social justice, and service to others line up very naturally with your volunteering record.</t>
        </is>
      </c>
      <c r="L31" s="3" t="inlineStr">
        <is>
          <t>Educate physicians and scientists in a Jesuit tradition of scholarship, innovation, service, and respect for human dignity.</t>
        </is>
      </c>
    </row>
    <row r="32" ht="48" customHeight="1" s="15">
      <c r="A32" s="3" t="inlineStr">
        <is>
          <t>Frank H. Netter M.D. School of Medicine at Quinnipiac University</t>
        </is>
      </c>
      <c r="B32" s="3" t="inlineStr">
        <is>
          <t>MD</t>
        </is>
      </c>
      <c r="C32" s="3" t="inlineStr">
        <is>
          <t>North Haven, CT</t>
        </is>
      </c>
      <c r="D32" s="4" t="n">
        <v>95997</v>
      </c>
      <c r="E32" s="5" t="n">
        <v>3.78</v>
      </c>
      <c r="F32" s="6" t="n">
        <v>513</v>
      </c>
      <c r="G32" s="7" t="inlineStr">
        <is>
          <t>Target</t>
        </is>
      </c>
      <c r="H32" s="3" t="inlineStr">
        <is>
          <t>Private</t>
        </is>
      </c>
      <c r="I32" s="3" t="inlineStr">
        <is>
          <t>https://www.medcmp.com/frank-h-netter-md-school-of-medicine-at-quinnipiac-university/acceptance-rate-and-mcat-scores/</t>
        </is>
      </c>
      <c r="J32" s="3" t="inlineStr">
        <is>
          <t>https://www.medcmp.com/frank-h-netter-md-school-of-medicine-at-quinnipiac-university/cost-of-attendance/</t>
        </is>
      </c>
      <c r="K32" s="3" t="inlineStr">
        <is>
          <t>Patient-centered, collaborative culture makes sense for your teaching and direct-service strengths.</t>
        </is>
      </c>
      <c r="L32" s="3" t="inlineStr">
        <is>
          <t>Prepare empathetic, inclusive physicians who improve health in collaboration with patients and communities.</t>
        </is>
      </c>
    </row>
    <row r="33" ht="48" customHeight="1" s="15">
      <c r="A33" s="3" t="inlineStr">
        <is>
          <t>Tulane University School of Medicine</t>
        </is>
      </c>
      <c r="B33" s="3" t="inlineStr">
        <is>
          <t>MD</t>
        </is>
      </c>
      <c r="C33" s="3" t="inlineStr">
        <is>
          <t>New Orleans, LA</t>
        </is>
      </c>
      <c r="D33" s="4" t="n">
        <v>95328</v>
      </c>
      <c r="E33" s="5" t="n">
        <v>3.7</v>
      </c>
      <c r="F33" s="6" t="n">
        <v>510</v>
      </c>
      <c r="G33" s="7" t="inlineStr">
        <is>
          <t>Safety</t>
        </is>
      </c>
      <c r="H33" s="3" t="inlineStr">
        <is>
          <t>Private</t>
        </is>
      </c>
      <c r="I33" s="3" t="inlineStr">
        <is>
          <t>https://www.medcmp.com/tulane-university-school-of-medicine/acceptance-rate-and-mcat-scores/</t>
        </is>
      </c>
      <c r="J33" s="3" t="inlineStr">
        <is>
          <t>https://www.medcmp.com/tulane-university-school-of-medicine/cost-of-attendance/</t>
        </is>
      </c>
      <c r="K33" s="3" t="inlineStr">
        <is>
          <t>Public-facing mission, underserved-community work, and infectious-disease history fit your application themes well.</t>
        </is>
      </c>
      <c r="L33" s="3" t="inlineStr">
        <is>
          <t>Improve human health and foster healthy communities through discovery, education, and high-quality patient care.</t>
        </is>
      </c>
    </row>
    <row r="34" ht="48" customHeight="1" s="15">
      <c r="A34" s="3" t="inlineStr">
        <is>
          <t>Eastern Virginia Medical School</t>
        </is>
      </c>
      <c r="B34" s="3" t="inlineStr">
        <is>
          <t>MD</t>
        </is>
      </c>
      <c r="C34" s="3" t="inlineStr">
        <is>
          <t>Norfolk, VA</t>
        </is>
      </c>
      <c r="D34" s="4" t="n">
        <v>86585</v>
      </c>
      <c r="E34" s="5" t="n">
        <v>3.8</v>
      </c>
      <c r="F34" s="6" t="n">
        <v>513</v>
      </c>
      <c r="G34" s="7" t="inlineStr">
        <is>
          <t>Target</t>
        </is>
      </c>
      <c r="H34" s="3" t="inlineStr">
        <is>
          <t>Public (out-of-state COA)</t>
        </is>
      </c>
      <c r="I34" s="3" t="inlineStr">
        <is>
          <t>https://www.medcmp.com/eastern-virginia-medical-school/acceptance-rate-and-mcat-scores/</t>
        </is>
      </c>
      <c r="J34" s="3" t="inlineStr">
        <is>
          <t>https://www.medcmp.com/eastern-virginia-medical-school/cost-of-attendance/</t>
        </is>
      </c>
      <c r="K34" s="3" t="inlineStr">
        <is>
          <t>Community-oriented training and broad clinical service ethos fit your existing experience well.</t>
        </is>
      </c>
      <c r="L34" s="3" t="inlineStr">
        <is>
          <t>Improve community and global health through education, research, and patient-centered care.</t>
        </is>
      </c>
    </row>
    <row r="35" ht="32" customHeight="1" s="15">
      <c r="A35" s="3" t="inlineStr">
        <is>
          <t>Rush Medical College at Rush University</t>
        </is>
      </c>
      <c r="B35" s="3" t="inlineStr">
        <is>
          <t>MD</t>
        </is>
      </c>
      <c r="C35" s="3" t="inlineStr">
        <is>
          <t>Chicago, IL</t>
        </is>
      </c>
      <c r="D35" s="4" t="n">
        <v>104682</v>
      </c>
      <c r="E35" s="5" t="n">
        <v>3.72</v>
      </c>
      <c r="F35" s="6" t="n">
        <v>510</v>
      </c>
      <c r="G35" s="7" t="inlineStr">
        <is>
          <t>Safety</t>
        </is>
      </c>
      <c r="H35" s="3" t="inlineStr">
        <is>
          <t>Private</t>
        </is>
      </c>
      <c r="I35" s="3" t="inlineStr">
        <is>
          <t>https://www.medcmp.com/rush-medical-college/acceptance-rate-and-mcat-scores/</t>
        </is>
      </c>
      <c r="J35" s="3" t="inlineStr">
        <is>
          <t>https://www.medcmp.com/rush-medical-college/cost-of-attendance/</t>
        </is>
      </c>
      <c r="K35" s="3" t="inlineStr">
        <is>
          <t>One of the strongest pure service-fit schools for your hospice and restorative justice background.</t>
        </is>
      </c>
      <c r="L35" s="3" t="inlineStr">
        <is>
          <t>Train clinically excellent physicians committed to service, equity, and outstanding care for diverse urban communities.</t>
        </is>
      </c>
    </row>
    <row r="36">
      <c r="A36" s="3" t="inlineStr">
        <is>
          <t>Chicago Medical School at Rosalind Franklin University of Medicine and Science</t>
        </is>
      </c>
      <c r="B36" s="3" t="inlineStr">
        <is>
          <t>MD</t>
        </is>
      </c>
      <c r="C36" s="3" t="inlineStr">
        <is>
          <t>North Chicago, IL</t>
        </is>
      </c>
      <c r="D36" s="4" t="n">
        <v>100423</v>
      </c>
      <c r="E36" s="5" t="n">
        <v>3.69</v>
      </c>
      <c r="F36" s="6" t="n">
        <v>508</v>
      </c>
      <c r="G36" s="7" t="inlineStr">
        <is>
          <t>Safety</t>
        </is>
      </c>
      <c r="H36" s="3" t="inlineStr">
        <is>
          <t>Private</t>
        </is>
      </c>
      <c r="I36" s="3" t="inlineStr">
        <is>
          <t>https://www.medcmp.com/chicago-medical-school-of-rosalind-franklin-university-of-medicine-and-science/acceptance-rate-and-mcat-scores/</t>
        </is>
      </c>
      <c r="J36" s="3" t="inlineStr">
        <is>
          <t>https://www.medcmp.com/chicago-medical-school-of-rosalind-franklin-university-of-medicine-and-science/cost-of-attendance/</t>
        </is>
      </c>
      <c r="K36" s="3" t="inlineStr">
        <is>
          <t>Stats fit is favorable, and the patient-centered mission still connects well to your experiences.</t>
        </is>
      </c>
      <c r="L36" s="3" t="inlineStr">
        <is>
          <t>Prepare patient-centered physicians and scientists dedicated to discovery, respect, and service.</t>
        </is>
      </c>
    </row>
    <row r="37">
      <c r="A37" s="3" t="inlineStr">
        <is>
          <t>New York Medical College</t>
        </is>
      </c>
      <c r="B37" s="3" t="inlineStr">
        <is>
          <t>MD</t>
        </is>
      </c>
      <c r="C37" s="3" t="inlineStr">
        <is>
          <t>Valhalla, NY</t>
        </is>
      </c>
      <c r="D37" s="4" t="n">
        <v>94496</v>
      </c>
      <c r="E37" s="5" t="n">
        <v>3.8</v>
      </c>
      <c r="F37" s="6" t="n">
        <v>516</v>
      </c>
      <c r="G37" s="7" t="inlineStr">
        <is>
          <t>Target</t>
        </is>
      </c>
      <c r="H37" s="3" t="inlineStr">
        <is>
          <t>Private</t>
        </is>
      </c>
      <c r="I37" s="3" t="inlineStr">
        <is>
          <t>https://www.medcmp.com/new-york-medical-college/acceptance-rate-and-mcat-scores/</t>
        </is>
      </c>
      <c r="J37" s="3" t="inlineStr">
        <is>
          <t>https://www.medcmp.com/new-york-medical-college/cost-of-attendance/</t>
        </is>
      </c>
      <c r="K37" s="3" t="inlineStr">
        <is>
          <t>A solid humanistic academic-medicine option; your service keeps it mission-consistent despite the slightly higher MCAT.</t>
        </is>
      </c>
      <c r="L37" s="3" t="inlineStr">
        <is>
          <t>Educate skilled, ethical physicians and scientists who advance health through scholarship and compassionate care.</t>
        </is>
      </c>
    </row>
    <row r="38">
      <c r="A38" s="3" t="inlineStr">
        <is>
          <t>University of California, Riverside School of Medicine</t>
        </is>
      </c>
      <c r="B38" s="3" t="inlineStr">
        <is>
          <t>MD</t>
        </is>
      </c>
      <c r="C38" s="3" t="inlineStr">
        <is>
          <t>Riverside, CA</t>
        </is>
      </c>
      <c r="D38" s="4" t="n">
        <v>66443</v>
      </c>
      <c r="E38" s="5" t="n">
        <v>3.6</v>
      </c>
      <c r="F38" s="6" t="n">
        <v>509</v>
      </c>
      <c r="G38" s="7" t="inlineStr">
        <is>
          <t>Safety</t>
        </is>
      </c>
      <c r="H38" s="3" t="inlineStr">
        <is>
          <t>CA public (in-state COA)</t>
        </is>
      </c>
      <c r="I38" s="3" t="inlineStr">
        <is>
          <t>https://www.medcmp.com/university-of-california-riverside-school-of-medicine/acceptance-rate-and-mcat-scores/</t>
        </is>
      </c>
      <c r="J38" s="3" t="inlineStr">
        <is>
          <t>https://www.medcmp.com/university-of-california-riverside-school-of-medicine/cost-of-attendance/</t>
        </is>
      </c>
      <c r="K38" s="3" t="inlineStr">
        <is>
          <t>Mission fit is excellent for service and California preference, even without a deep Inland Empire tie.</t>
        </is>
      </c>
      <c r="L38" s="3" t="inlineStr">
        <is>
          <t>Improve the health of California, especially Inland Southern California, by training a diverse physician workforce and serving the medically underserved.</t>
        </is>
      </c>
    </row>
    <row r="39">
      <c r="A39" s="3" t="inlineStr">
        <is>
          <t>California University of Science and Medicine</t>
        </is>
      </c>
      <c r="B39" s="3" t="inlineStr">
        <is>
          <t>MD</t>
        </is>
      </c>
      <c r="C39" s="3" t="inlineStr">
        <is>
          <t>Colton, CA</t>
        </is>
      </c>
      <c r="D39" s="4" t="n"/>
      <c r="E39" s="5" t="n">
        <v>3.6</v>
      </c>
      <c r="F39" s="6" t="n">
        <v>513</v>
      </c>
      <c r="G39" s="7" t="inlineStr">
        <is>
          <t>Target</t>
        </is>
      </c>
      <c r="H39" s="3" t="inlineStr">
        <is>
          <t>Private (verify official COA)</t>
        </is>
      </c>
      <c r="I39" s="3" t="inlineStr">
        <is>
          <t>https://www.medcmp.com/california-university-of-science-and-medicine/acceptance-rate-and-mcat-scores/</t>
        </is>
      </c>
      <c r="J39" s="3" t="inlineStr">
        <is>
          <t>https://www.medcmp.com/california-university-of-science-and-medicine/cost-of-attendance/</t>
        </is>
      </c>
      <c r="K39" s="3" t="inlineStr">
        <is>
          <t>I included this because it adds a sixth California MD option with a strong underserved-community mission and favorable GPA fit.</t>
        </is>
      </c>
      <c r="L39" s="3" t="inlineStr">
        <is>
          <t>Develop excellent and caring physicians, scientists, and leaders who improve community health and expand opportunity, especially for California and the Inland Empire.</t>
        </is>
      </c>
    </row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autoFilter ref="A4:L39"/>
  <mergeCells count="2">
    <mergeCell ref="A2:L2"/>
    <mergeCell ref="A1:L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8.83203125" defaultRowHeight="15"/>
  <cols>
    <col width="60" customWidth="1" style="15" min="1" max="1"/>
    <col width="12" customWidth="1" style="15" min="2" max="2"/>
    <col width="18" customWidth="1" style="15" min="4" max="4"/>
    <col width="10" customWidth="1" style="15" min="5" max="6"/>
  </cols>
  <sheetData>
    <row r="1" ht="19" customHeight="1" s="15">
      <c r="A1" s="16" t="inlineStr">
        <is>
          <t>Selection notes</t>
        </is>
      </c>
    </row>
    <row r="3">
      <c r="A3" s="10" t="inlineStr">
        <is>
          <t>This version stays at 35 schools, is MD-only, and excludes schools above a reported 3.85 GPA.</t>
        </is>
      </c>
    </row>
    <row r="4">
      <c r="A4" s="10" t="inlineStr">
        <is>
          <t>Mission fit was screened against your resume themes: research, hospice/service, teaching, leadership, and justice-oriented community work.</t>
        </is>
      </c>
    </row>
    <row r="5">
      <c r="A5" s="10" t="inlineStr">
        <is>
          <t>I leaned harder toward California schools where the stats and mission still made sense, including UC Riverside and CUSM.</t>
        </is>
      </c>
    </row>
    <row r="6">
      <c r="A6" s="10" t="inlineStr">
        <is>
          <t>For MD admissions, 'Safety' still means lower relative risk, not a guarantee.</t>
        </is>
      </c>
    </row>
    <row r="9">
      <c r="A9" s="11" t="inlineStr">
        <is>
          <t>Count by bucket</t>
        </is>
      </c>
      <c r="D9" s="11" t="inlineStr">
        <is>
          <t>Average reported stats by bucket</t>
        </is>
      </c>
    </row>
    <row r="10">
      <c r="A10" s="10" t="inlineStr">
        <is>
          <t>Safety</t>
        </is>
      </c>
      <c r="B10" s="10">
        <f>COUNTIF('MD Schools'!$G$5:$G$200,"Safety")</f>
        <v/>
      </c>
      <c r="D10" s="10" t="inlineStr">
        <is>
          <t>Safety</t>
        </is>
      </c>
      <c r="E10" s="12">
        <f>AVERAGEIF('MD Schools'!$G$5:$G$200,"Safety",'MD Schools'!$E$5:$E$200)</f>
        <v/>
      </c>
      <c r="F10" s="13">
        <f>AVERAGEIF('MD Schools'!$G$5:$G$200,"Safety",'MD Schools'!$F$5:$F$200)</f>
        <v/>
      </c>
    </row>
    <row r="11">
      <c r="A11" s="10" t="inlineStr">
        <is>
          <t>Target</t>
        </is>
      </c>
      <c r="B11" s="10">
        <f>COUNTIF('MD Schools'!$G$5:$G$200,"Target")</f>
        <v/>
      </c>
      <c r="D11" s="10" t="inlineStr">
        <is>
          <t>Target</t>
        </is>
      </c>
      <c r="E11" s="12">
        <f>AVERAGEIF('MD Schools'!$G$5:$G$200,"Target",'MD Schools'!$E$5:$E$200)</f>
        <v/>
      </c>
      <c r="F11" s="13">
        <f>AVERAGEIF('MD Schools'!$G$5:$G$200,"Target",'MD Schools'!$F$5:$F$200)</f>
        <v/>
      </c>
    </row>
    <row r="12">
      <c r="A12" s="10" t="inlineStr">
        <is>
          <t>Reach</t>
        </is>
      </c>
      <c r="B12" s="10">
        <f>COUNTIF('MD Schools'!$G$5:$G$200,"Reach")</f>
        <v/>
      </c>
      <c r="D12" s="10" t="inlineStr">
        <is>
          <t>Reach</t>
        </is>
      </c>
      <c r="E12" s="12">
        <f>AVERAGEIF('MD Schools'!$G$5:$G$200,"Reach",'MD Schools'!$E$5:$E$200)</f>
        <v/>
      </c>
      <c r="F12" s="13">
        <f>AVERAGEIF('MD Schools'!$G$5:$G$200,"Reach",'MD Schools'!$F$5:$F$200)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2026-04-08T21:38:51Z</dcterms:created>
  <dcterms:modified xmlns:dcterms="http://purl.org/dc/terms/" xmlns:xsi="http://www.w3.org/2001/XMLSchema-instance" xsi:type="dcterms:W3CDTF">2026-04-19T06:37:50Z</dcterms:modified>
  <cp:lastModifiedBy>Jin Saeki Ko</cp:lastModifiedBy>
</cp:coreProperties>
</file>